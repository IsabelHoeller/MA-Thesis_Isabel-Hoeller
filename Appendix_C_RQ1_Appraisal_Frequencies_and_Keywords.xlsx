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xr:revisionPtr revIDLastSave="0" documentId="13_ncr:41000001_{F98791C8-4477-5B44-9758-E28F1EE4C43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Affect" sheetId="1" r:id="rId1"/>
    <sheet name="Judgement" sheetId="2" r:id="rId2"/>
    <sheet name="Appreciation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4" i="3" l="1"/>
  <c r="B82" i="3"/>
  <c r="I82" i="3"/>
  <c r="B80" i="3"/>
  <c r="J44" i="2"/>
  <c r="B39" i="2"/>
  <c r="J42" i="2"/>
  <c r="B37" i="2"/>
  <c r="I48" i="1"/>
  <c r="B49" i="1"/>
  <c r="I46" i="1"/>
  <c r="B47" i="1"/>
  <c r="J75" i="3"/>
  <c r="J76" i="3"/>
  <c r="J77" i="3"/>
  <c r="J78" i="3"/>
  <c r="J79" i="3"/>
  <c r="J80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7" i="3"/>
  <c r="C7" i="3"/>
  <c r="C8" i="3"/>
  <c r="C9" i="3"/>
  <c r="C10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K30" i="2"/>
  <c r="K31" i="2"/>
  <c r="K32" i="2"/>
  <c r="K33" i="2"/>
  <c r="K34" i="2"/>
  <c r="K35" i="2"/>
  <c r="K36" i="2"/>
  <c r="K37" i="2"/>
  <c r="K38" i="2"/>
  <c r="K39" i="2"/>
  <c r="K40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7" i="2"/>
  <c r="C7" i="2"/>
  <c r="C8" i="2"/>
  <c r="C9" i="2"/>
  <c r="C10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11" i="1"/>
  <c r="C11" i="1"/>
  <c r="C12" i="1"/>
  <c r="C13" i="1"/>
  <c r="C14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</calcChain>
</file>

<file path=xl/sharedStrings.xml><?xml version="1.0" encoding="utf-8"?>
<sst xmlns="http://schemas.openxmlformats.org/spreadsheetml/2006/main" count="355" uniqueCount="187">
  <si>
    <t>method name: struct_wordlist</t>
  </si>
  <si>
    <t>corpus: user/isabel_h/ted_gender_thesis</t>
  </si>
  <si>
    <t>subcorpus: Female Speakers</t>
  </si>
  <si>
    <t>concordance size: 235</t>
  </si>
  <si>
    <t>query: Query:[lemma_lc="".*""&amp;lemma_lc!=""[^[:alpha:]].*""&amp;(lemma_lc==""trust""|lemma_lc==""love""|lemma_lc==""intuition""|lemma_lc==""confidence""|lemma_lc==""expect""|lemma_lc==""struggle""|lemma_lc==""ready""|lemma_lc==""fear""|lemma_lc==""surprise""|lemma_lc==""hate""|lemma_lc==""inspire""|lemma_lc==""enjoy""|lemma_lc==""hope""|lemma_lc==""favorite""|lemma_lc==""afraid""|lemma_lc==""feeling""|lemma_lc==""happy""|lemma_lc==""admire""|lemma_lc==""worry""|lemma_lc==""embrace""|lemma_lc==""scare""|lemma_lc==""guilty""|lemma_lc==""death""|lemma_lc==""danger""|lemma_lc==""crazy""|lemma_lc==""frustrate""|lemma_lc==""catch""|lemma_lc==""proud""|lemma_lc==""smile""|lemma_lc==""vulnerability""|lemma_lc==""fun""|lemma_lc==""lucky""|lemma_lc==""threaten""|lemma_lc==""understanding""|lemma_lc==""hell""|lemma_lc==""familiar"")]</t>
  </si>
  <si>
    <t>lemma</t>
  </si>
  <si>
    <t>Frequency</t>
  </si>
  <si>
    <t>Freq. per million</t>
  </si>
  <si>
    <t>% of concordance</t>
  </si>
  <si>
    <t>trust</t>
  </si>
  <si>
    <t>love</t>
  </si>
  <si>
    <t>intuition</t>
  </si>
  <si>
    <t>confidence</t>
  </si>
  <si>
    <t>hate</t>
  </si>
  <si>
    <t>enjoy</t>
  </si>
  <si>
    <t>favorite</t>
  </si>
  <si>
    <t>struggle</t>
  </si>
  <si>
    <t>admire</t>
  </si>
  <si>
    <t>fear</t>
  </si>
  <si>
    <t>guilty</t>
  </si>
  <si>
    <t>inspire</t>
  </si>
  <si>
    <t>afraid</t>
  </si>
  <si>
    <t>ready</t>
  </si>
  <si>
    <t>happy</t>
  </si>
  <si>
    <t>familiar</t>
  </si>
  <si>
    <t>surprise</t>
  </si>
  <si>
    <t>threaten</t>
  </si>
  <si>
    <t>scare</t>
  </si>
  <si>
    <t>proud</t>
  </si>
  <si>
    <t>expect</t>
  </si>
  <si>
    <t>hope</t>
  </si>
  <si>
    <t>crazy</t>
  </si>
  <si>
    <t>death</t>
  </si>
  <si>
    <t>lucky</t>
  </si>
  <si>
    <t>catch</t>
  </si>
  <si>
    <t>worry</t>
  </si>
  <si>
    <t>hell</t>
  </si>
  <si>
    <t>smile</t>
  </si>
  <si>
    <t>frustrate</t>
  </si>
  <si>
    <t>fun</t>
  </si>
  <si>
    <t>embrace</t>
  </si>
  <si>
    <t>feeling</t>
  </si>
  <si>
    <t>understanding</t>
  </si>
  <si>
    <t>vulnerability</t>
  </si>
  <si>
    <t>subcorpus: Male Speakers</t>
  </si>
  <si>
    <t>concordance size: 155</t>
  </si>
  <si>
    <t>danger</t>
  </si>
  <si>
    <t>Trust</t>
  </si>
  <si>
    <t>concordance size: 165</t>
  </si>
  <si>
    <t>query: Query:[lemma_lc="".*""&amp;lemma_lc!=""[^[:alpha:]].*""&amp;(lemma_lc==""cooperative""|lemma_lc==""kind""|lemma_lc==""blame""|lemma_lc==""professional""|lemma_lc==""authority""|lemma_lc==""cooperation""|lemma_lc==""promise""|lemma_lc==""united""|lemma_lc==""accountability""|lemma_lc==""accountable""|lemma_lc==""generous""|lemma_lc==""judgment""|lemma_lc==""authentic""|lemma_lc==""encourage""|lemma_lc==""deserve""|lemma_lc==""secrecy""|lemma_lc==""strength""|lemma_lc==""punishment""|lemma_lc==""courageous""|lemma_lc==""guarantee""|lemma_lc==""expert""|lemma_lc==""underpaid""|lemma_lc==""fault""|lemma_lc==""advice""|lemma_lc==""advocate""|lemma_lc==""cultivate""|lemma_lc==""""|lemma_lc==""honest""|lemma_lc==""capable""|lemma_lc==""competent""|lemma_lc==""responsible""|lemma_lc==""ethical""|lemma_lc==""skilled""|lemma_lc==""confident""|lemma_lc==""fair""|lemma_lc==""willing""|lemma_lc==""talented"")]</t>
  </si>
  <si>
    <t>cooperative</t>
  </si>
  <si>
    <t>kind</t>
  </si>
  <si>
    <t>capable</t>
  </si>
  <si>
    <t>professional</t>
  </si>
  <si>
    <t>authority</t>
  </si>
  <si>
    <t>promise</t>
  </si>
  <si>
    <t>authentic</t>
  </si>
  <si>
    <t>encourage</t>
  </si>
  <si>
    <t>willing</t>
  </si>
  <si>
    <t>accountable</t>
  </si>
  <si>
    <t>fair</t>
  </si>
  <si>
    <t>judgment</t>
  </si>
  <si>
    <t>punishment</t>
  </si>
  <si>
    <t>guarantee</t>
  </si>
  <si>
    <t>expert</t>
  </si>
  <si>
    <t>advice</t>
  </si>
  <si>
    <t>courageous</t>
  </si>
  <si>
    <t>blame</t>
  </si>
  <si>
    <t>ethical</t>
  </si>
  <si>
    <t>confident</t>
  </si>
  <si>
    <t>cooperation</t>
  </si>
  <si>
    <t>honest</t>
  </si>
  <si>
    <t>strength</t>
  </si>
  <si>
    <t>advocate</t>
  </si>
  <si>
    <t>accountability</t>
  </si>
  <si>
    <t>deserve</t>
  </si>
  <si>
    <t>competent</t>
  </si>
  <si>
    <t>United</t>
  </si>
  <si>
    <t>cultivate</t>
  </si>
  <si>
    <t>concordance size: 171</t>
  </si>
  <si>
    <t>generous</t>
  </si>
  <si>
    <t>secrecy</t>
  </si>
  <si>
    <t>underpaid</t>
  </si>
  <si>
    <t>fault</t>
  </si>
  <si>
    <t>responsible</t>
  </si>
  <si>
    <t>skilled</t>
  </si>
  <si>
    <t>talented</t>
  </si>
  <si>
    <t>Fair</t>
  </si>
  <si>
    <t>concordance size: 460</t>
  </si>
  <si>
    <t>query: Query:[lemma_lc="".*""&amp;lemma_lc!=""[^[:alpha:]].*""&amp;(lemma_lc==""good""|lemma_lc==""problem""|lemma_lc==""success""|lemma_lc==""failure""|lemma_lc==""opportunity""|lemma_lc==""challenge""|lemma_lc==""important""|lemma_lc==""bad""|lemma_lc==""successful""|lemma_lc==""difficult""|lemma_lc==""safe""|lemma_lc==""risk""|lemma_lc==""pretty""|lemma_lc==""beautiful""|lemma_lc==""perfection""|lemma_lc==""waste""|lemma_lc==""improve""|lemma_lc==""perfect""|lemma_lc==""wealth""|lemma_lc==""mistake""|lemma_lc==""ugly""|lemma_lc==""vision""|lemma_lc==""remarkable""|lemma_lc==""unique""|lemma_lc==""chance""|lemma_lc==""journey""|lemma_lc==""gain""|lemma_lc==""achieve""|lemma_lc==""beauty""|lemma_lc==""bonus""|lemma_lc==""powerful""|lemma_lc==""effective""|lemma_lc==""secret""|lemma_lc==""poverty""|lemma_lc==""war""|lemma_lc==""tough""|lemma_lc==""progress""|lemma_lc==""gift""|lemma_lc==""lesson""|lemma_lc==""giant""|lemma_lc==""credit""|lemma_lc==""battle""|lemma_lc==""endless""|lemma_lc==""succeed""|lemma_lc==""wonderful""|lemma_lc==""equality""|lemma_lc==""clean""|lemma_lc==""brilliant""|lemma_lc==""competition""|lemma_lc==""magical""|lemma_lc==""crash""|lemma_lc==""inequality""|lemma_lc==""accomplish""|lemma_lc==""adversity""|lemma_lc==""error""|lemma_lc==""achievement""|lemma_lc==""advance""|lemma_lc==""simple""|lemma_lc==""creative""|lemma_lc==""revolutionary""|lemma_lc==""interesting""|lemma_lc==""sustainable""|lemma_lc==""surprising""|lemma_lc==""magic""|lemma_lc==""dynamic""|lemma_lc==""emergent""|lemma_lc==""slow""|lemma_lc==""complete""|lemma_lc==""obsolete""|lemma_lc==""dead-end""|lemma_lc==""tried-and-true""|lemma_lc==""old-school""|lemma_lc==""soft""|lemma_lc==""hard""|lemma_lc==""centralized""|lemma_lc==""classical""|lemma_lc==""significant""|lemma_lc==""radical""|lemma_lc==""flexible""|lemma_lc==""low-value"")]</t>
  </si>
  <si>
    <t>good</t>
  </si>
  <si>
    <t>success</t>
  </si>
  <si>
    <t>successful</t>
  </si>
  <si>
    <t>challenge</t>
  </si>
  <si>
    <t>bad</t>
  </si>
  <si>
    <t>problem</t>
  </si>
  <si>
    <t>safe</t>
  </si>
  <si>
    <t>opportunity</t>
  </si>
  <si>
    <t>important</t>
  </si>
  <si>
    <t>pretty</t>
  </si>
  <si>
    <t>vision</t>
  </si>
  <si>
    <t>failure</t>
  </si>
  <si>
    <t>simple</t>
  </si>
  <si>
    <t>journey</t>
  </si>
  <si>
    <t>progress</t>
  </si>
  <si>
    <t>hard</t>
  </si>
  <si>
    <t>effective</t>
  </si>
  <si>
    <t>unique</t>
  </si>
  <si>
    <t>improve</t>
  </si>
  <si>
    <t>poverty</t>
  </si>
  <si>
    <t>risk</t>
  </si>
  <si>
    <t>achieve</t>
  </si>
  <si>
    <t>wealth</t>
  </si>
  <si>
    <t>endless</t>
  </si>
  <si>
    <t>magic</t>
  </si>
  <si>
    <t>chance</t>
  </si>
  <si>
    <t>powerful</t>
  </si>
  <si>
    <t>war</t>
  </si>
  <si>
    <t>bonus</t>
  </si>
  <si>
    <t>difficult</t>
  </si>
  <si>
    <t>gift</t>
  </si>
  <si>
    <t>achievement</t>
  </si>
  <si>
    <t>adversity</t>
  </si>
  <si>
    <t>mistake</t>
  </si>
  <si>
    <t>remarkable</t>
  </si>
  <si>
    <t>interesting</t>
  </si>
  <si>
    <t>tough</t>
  </si>
  <si>
    <t>magical</t>
  </si>
  <si>
    <t>beautiful</t>
  </si>
  <si>
    <t>secret</t>
  </si>
  <si>
    <t>succeed</t>
  </si>
  <si>
    <t>creative</t>
  </si>
  <si>
    <t>wonderful</t>
  </si>
  <si>
    <t>giant</t>
  </si>
  <si>
    <t>brilliant</t>
  </si>
  <si>
    <t>battle</t>
  </si>
  <si>
    <t>complete</t>
  </si>
  <si>
    <t>flexible</t>
  </si>
  <si>
    <t>significant</t>
  </si>
  <si>
    <t>dynamic</t>
  </si>
  <si>
    <t>advance</t>
  </si>
  <si>
    <t>gain</t>
  </si>
  <si>
    <t>perfection</t>
  </si>
  <si>
    <t>clean</t>
  </si>
  <si>
    <t>credit</t>
  </si>
  <si>
    <t>sustainable</t>
  </si>
  <si>
    <t>revolutionary</t>
  </si>
  <si>
    <t>low-value</t>
  </si>
  <si>
    <t>competition</t>
  </si>
  <si>
    <t>equality</t>
  </si>
  <si>
    <t>lesson</t>
  </si>
  <si>
    <t>surprising</t>
  </si>
  <si>
    <t>waste</t>
  </si>
  <si>
    <t>old-school</t>
  </si>
  <si>
    <t>War</t>
  </si>
  <si>
    <t>centralized</t>
  </si>
  <si>
    <t>perfect</t>
  </si>
  <si>
    <t>inequality</t>
  </si>
  <si>
    <t>obsolete</t>
  </si>
  <si>
    <t>classical</t>
  </si>
  <si>
    <t>emergent</t>
  </si>
  <si>
    <t>accomplish</t>
  </si>
  <si>
    <t>concordance size: 598</t>
  </si>
  <si>
    <t>ugly</t>
  </si>
  <si>
    <t>beauty</t>
  </si>
  <si>
    <t>slow</t>
  </si>
  <si>
    <t>crash</t>
  </si>
  <si>
    <t>soft</t>
  </si>
  <si>
    <t>error</t>
  </si>
  <si>
    <t>radical</t>
  </si>
  <si>
    <t>tried-and-true</t>
  </si>
  <si>
    <t>dead-end</t>
  </si>
  <si>
    <t>Beauty</t>
  </si>
  <si>
    <t>Subcorpus sizes</t>
  </si>
  <si>
    <t>Subcorpus</t>
  </si>
  <si>
    <t>Tokens</t>
  </si>
  <si>
    <t>%</t>
  </si>
  <si>
    <t>Female Speakers</t>
  </si>
  <si>
    <t>Male Speakers</t>
  </si>
  <si>
    <t>Norm_10k</t>
  </si>
  <si>
    <t>Affect</t>
  </si>
  <si>
    <t>Judgement</t>
  </si>
  <si>
    <t>Appreciation</t>
  </si>
  <si>
    <t>Female (per 10k)</t>
  </si>
  <si>
    <t>Male (per 10k)</t>
  </si>
  <si>
    <t>(total raw frequency / total tokens) × 10,000</t>
  </si>
  <si>
    <t>(total raw frequency / total tokens) × 10,000=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</si>
</sst>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3F3F3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</fills>
  <borders count="10">
    <border>
      <left/>
      <right/>
      <top/>
      <bottom/>
      <diagonal/>
    </border>
    <border>
      <left style="medium">
        <color rgb="FF505050"/>
      </left>
      <right/>
      <top style="medium">
        <color rgb="FF505050"/>
      </top>
      <bottom/>
      <diagonal/>
    </border>
    <border>
      <left/>
      <right/>
      <top style="medium">
        <color rgb="FF505050"/>
      </top>
      <bottom/>
      <diagonal/>
    </border>
    <border>
      <left/>
      <right style="medium">
        <color rgb="FF505050"/>
      </right>
      <top style="medium">
        <color rgb="FF505050"/>
      </top>
      <bottom/>
      <diagonal/>
    </border>
    <border>
      <left style="medium">
        <color rgb="FF505050"/>
      </left>
      <right/>
      <top/>
      <bottom/>
      <diagonal/>
    </border>
    <border>
      <left/>
      <right style="medium">
        <color rgb="FF505050"/>
      </right>
      <top/>
      <bottom/>
      <diagonal/>
    </border>
    <border>
      <left style="medium">
        <color rgb="FF505050"/>
      </left>
      <right/>
      <top/>
      <bottom style="medium">
        <color rgb="FF505050"/>
      </bottom>
      <diagonal/>
    </border>
    <border>
      <left/>
      <right/>
      <top/>
      <bottom style="medium">
        <color rgb="FF505050"/>
      </bottom>
      <diagonal/>
    </border>
    <border>
      <left/>
      <right style="medium">
        <color rgb="FF505050"/>
      </right>
      <top/>
      <bottom style="medium">
        <color rgb="FF505050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9" applyNumberFormat="0" applyAlignment="0" applyProtection="0"/>
  </cellStyleXfs>
  <cellXfs count="48">
    <xf numFmtId="0" fontId="0" fillId="0" borderId="0" xfId="0"/>
    <xf numFmtId="0" fontId="0" fillId="0" borderId="0" xfId="0" applyAlignment="1">
      <alignment vertical="top" wrapText="1"/>
    </xf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0" fillId="0" borderId="5" xfId="0" applyBorder="1"/>
    <xf numFmtId="0" fontId="0" fillId="0" borderId="4" xfId="0" applyBorder="1"/>
    <xf numFmtId="0" fontId="0" fillId="0" borderId="1" xfId="0" applyBorder="1"/>
    <xf numFmtId="0" fontId="1" fillId="0" borderId="4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5" xfId="0" applyBorder="1" applyAlignment="1"/>
    <xf numFmtId="0" fontId="0" fillId="0" borderId="0" xfId="0" applyBorder="1" applyAlignment="1"/>
    <xf numFmtId="0" fontId="0" fillId="0" borderId="2" xfId="0" applyBorder="1" applyAlignment="1"/>
    <xf numFmtId="0" fontId="0" fillId="0" borderId="3" xfId="0" applyBorder="1" applyAlignment="1"/>
    <xf numFmtId="0" fontId="0" fillId="0" borderId="4" xfId="0" applyBorder="1" applyAlignment="1">
      <alignment wrapText="1"/>
    </xf>
    <xf numFmtId="0" fontId="0" fillId="0" borderId="0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1" fillId="0" borderId="0" xfId="0" applyFont="1"/>
    <xf numFmtId="0" fontId="0" fillId="0" borderId="0" xfId="0" applyBorder="1" applyAlignment="1">
      <alignment wrapText="1"/>
    </xf>
    <xf numFmtId="0" fontId="0" fillId="0" borderId="2" xfId="0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0" xfId="0" applyFont="1" applyBorder="1" applyAlignment="1">
      <alignment wrapText="1"/>
    </xf>
    <xf numFmtId="0" fontId="0" fillId="0" borderId="0" xfId="0" applyFont="1" applyAlignment="1">
      <alignment wrapText="1"/>
    </xf>
    <xf numFmtId="0" fontId="0" fillId="0" borderId="0" xfId="0" applyFont="1" applyBorder="1" applyAlignment="1">
      <alignment wrapText="1"/>
    </xf>
    <xf numFmtId="3" fontId="0" fillId="0" borderId="0" xfId="0" applyNumberFormat="1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2" fillId="2" borderId="0" xfId="1"/>
    <xf numFmtId="0" fontId="3" fillId="3" borderId="9" xfId="2"/>
    <xf numFmtId="0" fontId="0" fillId="0" borderId="0" xfId="0" applyFill="1"/>
    <xf numFmtId="0" fontId="0" fillId="0" borderId="1" xfId="0" applyFont="1" applyBorder="1" applyAlignment="1">
      <alignment wrapText="1"/>
    </xf>
    <xf numFmtId="0" fontId="0" fillId="0" borderId="2" xfId="0" applyFont="1" applyBorder="1" applyAlignment="1">
      <alignment wrapText="1"/>
    </xf>
    <xf numFmtId="0" fontId="0" fillId="0" borderId="4" xfId="0" applyBorder="1" applyAlignment="1">
      <alignment vertical="top" wrapText="1"/>
    </xf>
    <xf numFmtId="0" fontId="0" fillId="0" borderId="0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4" xfId="0" applyBorder="1" applyAlignment="1">
      <alignment wrapText="1"/>
    </xf>
    <xf numFmtId="0" fontId="0" fillId="0" borderId="0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0" xfId="0" applyFont="1" applyBorder="1" applyAlignment="1">
      <alignment wrapText="1"/>
    </xf>
    <xf numFmtId="0" fontId="0" fillId="0" borderId="0" xfId="0" applyAlignment="1"/>
    <xf numFmtId="0" fontId="0" fillId="0" borderId="0" xfId="0" applyAlignment="1">
      <alignment horizontal="center"/>
    </xf>
  </cellXfs>
  <cellStyles count="3">
    <cellStyle name="Ausgabe" xfId="2" builtinId="21"/>
    <cellStyle name="Gut" xfId="1" builtinId="26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8"/>
  <sheetViews>
    <sheetView tabSelected="1" topLeftCell="A37" workbookViewId="0">
      <selection activeCell="A55" sqref="A55:C58"/>
    </sheetView>
  </sheetViews>
  <sheetFormatPr defaultRowHeight="15" x14ac:dyDescent="0.2"/>
  <cols>
    <col min="1" max="1" width="17.890625" customWidth="1"/>
    <col min="2" max="2" width="16.140625" customWidth="1"/>
    <col min="3" max="3" width="16.41015625" customWidth="1"/>
    <col min="4" max="4" width="16.94921875" customWidth="1"/>
    <col min="5" max="5" width="16.0078125" customWidth="1"/>
    <col min="8" max="8" width="16.54296875" customWidth="1"/>
    <col min="9" max="10" width="12.375" customWidth="1"/>
    <col min="11" max="11" width="13.046875" customWidth="1"/>
    <col min="12" max="12" width="14.796875" customWidth="1"/>
  </cols>
  <sheetData>
    <row r="1" spans="1:12" x14ac:dyDescent="0.2">
      <c r="A1" s="34" t="s">
        <v>173</v>
      </c>
      <c r="B1" s="35"/>
      <c r="C1" s="28"/>
      <c r="D1" s="27"/>
    </row>
    <row r="2" spans="1:12" x14ac:dyDescent="0.2">
      <c r="A2" s="26" t="s">
        <v>174</v>
      </c>
      <c r="B2" s="26" t="s">
        <v>175</v>
      </c>
      <c r="C2" s="26"/>
      <c r="D2" s="26" t="s">
        <v>176</v>
      </c>
    </row>
    <row r="3" spans="1:12" x14ac:dyDescent="0.2">
      <c r="A3" s="26" t="s">
        <v>177</v>
      </c>
      <c r="B3" s="28">
        <v>33.694000000000003</v>
      </c>
      <c r="C3" s="28"/>
      <c r="D3" s="29">
        <v>49047</v>
      </c>
    </row>
    <row r="4" spans="1:12" ht="15.75" thickBot="1" x14ac:dyDescent="0.25">
      <c r="A4" s="26" t="s">
        <v>178</v>
      </c>
      <c r="B4" s="28">
        <v>35.003999999999998</v>
      </c>
      <c r="C4" s="28"/>
      <c r="D4" s="29">
        <v>50953</v>
      </c>
    </row>
    <row r="5" spans="1:12" x14ac:dyDescent="0.2">
      <c r="A5" s="42" t="s">
        <v>0</v>
      </c>
      <c r="B5" s="43"/>
      <c r="C5" s="24"/>
      <c r="D5" s="14"/>
      <c r="E5" s="15"/>
      <c r="H5" s="7" t="s">
        <v>0</v>
      </c>
      <c r="I5" s="2"/>
      <c r="J5" s="2"/>
      <c r="K5" s="2"/>
      <c r="L5" s="3"/>
    </row>
    <row r="6" spans="1:12" ht="27.75" customHeight="1" x14ac:dyDescent="0.2">
      <c r="A6" s="39" t="s">
        <v>1</v>
      </c>
      <c r="B6" s="40"/>
      <c r="C6" s="40"/>
      <c r="D6" s="40"/>
      <c r="E6" s="12"/>
      <c r="H6" s="6" t="s">
        <v>1</v>
      </c>
      <c r="I6" s="4"/>
      <c r="J6" s="4"/>
      <c r="K6" s="4"/>
      <c r="L6" s="5"/>
    </row>
    <row r="7" spans="1:12" ht="27.75" customHeight="1" x14ac:dyDescent="0.2">
      <c r="A7" s="44" t="s">
        <v>2</v>
      </c>
      <c r="B7" s="45"/>
      <c r="C7" s="26"/>
      <c r="D7" s="26"/>
      <c r="E7" s="12"/>
      <c r="H7" s="8" t="s">
        <v>44</v>
      </c>
      <c r="I7" s="4"/>
      <c r="J7" s="4"/>
      <c r="K7" s="4"/>
      <c r="L7" s="5"/>
    </row>
    <row r="8" spans="1:12" ht="27.75" x14ac:dyDescent="0.2">
      <c r="A8" s="16" t="s">
        <v>3</v>
      </c>
      <c r="B8" s="13"/>
      <c r="C8" s="13"/>
      <c r="D8" s="13"/>
      <c r="E8" s="12"/>
      <c r="H8" s="6" t="s">
        <v>45</v>
      </c>
      <c r="I8" s="4"/>
      <c r="J8" s="4"/>
      <c r="K8" s="4"/>
      <c r="L8" s="5"/>
    </row>
    <row r="9" spans="1:12" ht="80.25" customHeight="1" x14ac:dyDescent="0.2">
      <c r="A9" s="39" t="s">
        <v>4</v>
      </c>
      <c r="B9" s="40"/>
      <c r="C9" s="40"/>
      <c r="D9" s="40"/>
      <c r="E9" s="41"/>
      <c r="F9" s="1"/>
      <c r="H9" s="36" t="s">
        <v>4</v>
      </c>
      <c r="I9" s="37"/>
      <c r="J9" s="37"/>
      <c r="K9" s="37"/>
      <c r="L9" s="38"/>
    </row>
    <row r="10" spans="1:12" x14ac:dyDescent="0.2">
      <c r="A10" s="25" t="s">
        <v>5</v>
      </c>
      <c r="B10" s="26" t="s">
        <v>6</v>
      </c>
      <c r="C10" s="26" t="s">
        <v>179</v>
      </c>
      <c r="D10" s="26" t="s">
        <v>7</v>
      </c>
      <c r="E10" s="30" t="s">
        <v>8</v>
      </c>
      <c r="H10" s="6" t="s">
        <v>5</v>
      </c>
      <c r="I10" s="4" t="s">
        <v>6</v>
      </c>
      <c r="J10" s="4" t="s">
        <v>179</v>
      </c>
      <c r="K10" s="4" t="s">
        <v>7</v>
      </c>
      <c r="L10" s="5" t="s">
        <v>8</v>
      </c>
    </row>
    <row r="11" spans="1:12" x14ac:dyDescent="0.2">
      <c r="A11" s="16" t="s">
        <v>9</v>
      </c>
      <c r="B11" s="17">
        <v>21</v>
      </c>
      <c r="C11" s="23">
        <f>(B11/33694)*10000</f>
        <v>6.2325636611859681</v>
      </c>
      <c r="D11" s="17">
        <v>623.25636999999995</v>
      </c>
      <c r="E11" s="18">
        <v>8.9361700000000006</v>
      </c>
      <c r="H11" s="6" t="s">
        <v>9</v>
      </c>
      <c r="I11" s="4">
        <v>14</v>
      </c>
      <c r="J11" s="4">
        <f>(I11/35004)*10000</f>
        <v>3.9995429093817849</v>
      </c>
      <c r="K11" s="4">
        <v>399.95429000000001</v>
      </c>
      <c r="L11" s="5">
        <v>9.0322600000000008</v>
      </c>
    </row>
    <row r="12" spans="1:12" x14ac:dyDescent="0.2">
      <c r="A12" s="16" t="s">
        <v>10</v>
      </c>
      <c r="B12" s="17">
        <v>20</v>
      </c>
      <c r="C12" s="23">
        <f t="shared" ref="C12:C45" si="0">(B12/33694)*10000</f>
        <v>5.935774915415208</v>
      </c>
      <c r="D12" s="17">
        <v>593.57749000000001</v>
      </c>
      <c r="E12" s="18">
        <v>8.5106400000000004</v>
      </c>
      <c r="H12" s="6" t="s">
        <v>29</v>
      </c>
      <c r="I12" s="4">
        <v>12</v>
      </c>
      <c r="J12" s="4">
        <f t="shared" ref="J12:J44" si="1">(I12/35004)*10000</f>
        <v>3.4281796366129589</v>
      </c>
      <c r="K12" s="4">
        <v>342.81796000000003</v>
      </c>
      <c r="L12" s="5">
        <v>7.7419399999999996</v>
      </c>
    </row>
    <row r="13" spans="1:12" x14ac:dyDescent="0.2">
      <c r="A13" s="16" t="s">
        <v>11</v>
      </c>
      <c r="B13" s="17">
        <v>18</v>
      </c>
      <c r="C13" s="23">
        <f t="shared" si="0"/>
        <v>5.3421974238736869</v>
      </c>
      <c r="D13" s="17">
        <v>534.21974</v>
      </c>
      <c r="E13" s="18">
        <v>7.6595700000000004</v>
      </c>
      <c r="H13" s="6" t="s">
        <v>10</v>
      </c>
      <c r="I13" s="4">
        <v>11</v>
      </c>
      <c r="J13" s="4">
        <f t="shared" si="1"/>
        <v>3.1424980002285454</v>
      </c>
      <c r="K13" s="4">
        <v>314.24979999999999</v>
      </c>
      <c r="L13" s="5">
        <v>7.0967700000000002</v>
      </c>
    </row>
    <row r="14" spans="1:12" x14ac:dyDescent="0.2">
      <c r="A14" s="16" t="s">
        <v>12</v>
      </c>
      <c r="B14" s="17">
        <v>16</v>
      </c>
      <c r="C14" s="23">
        <f t="shared" si="0"/>
        <v>4.7486199323321658</v>
      </c>
      <c r="D14" s="17">
        <v>474.86198999999999</v>
      </c>
      <c r="E14" s="18">
        <v>6.8085100000000001</v>
      </c>
      <c r="H14" s="6" t="s">
        <v>25</v>
      </c>
      <c r="I14" s="4">
        <v>9</v>
      </c>
      <c r="J14" s="4">
        <f t="shared" si="1"/>
        <v>2.5711347274597189</v>
      </c>
      <c r="K14" s="4">
        <v>257.11347000000001</v>
      </c>
      <c r="L14" s="5">
        <v>5.8064499999999999</v>
      </c>
    </row>
    <row r="15" spans="1:12" x14ac:dyDescent="0.2">
      <c r="A15" s="16" t="s">
        <v>13</v>
      </c>
      <c r="B15" s="17">
        <v>13</v>
      </c>
      <c r="C15" s="23">
        <f t="shared" si="0"/>
        <v>3.8582536950198847</v>
      </c>
      <c r="D15" s="17">
        <v>385.82537000000002</v>
      </c>
      <c r="E15" s="18">
        <v>5.5319099999999999</v>
      </c>
      <c r="H15" s="6" t="s">
        <v>41</v>
      </c>
      <c r="I15" s="4">
        <v>8</v>
      </c>
      <c r="J15" s="4">
        <f t="shared" si="1"/>
        <v>2.2854530910753055</v>
      </c>
      <c r="K15" s="4">
        <v>228.54531</v>
      </c>
      <c r="L15" s="5">
        <v>5.1612900000000002</v>
      </c>
    </row>
    <row r="16" spans="1:12" x14ac:dyDescent="0.2">
      <c r="A16" s="16" t="s">
        <v>14</v>
      </c>
      <c r="B16" s="17">
        <v>9</v>
      </c>
      <c r="C16" s="23">
        <f t="shared" si="0"/>
        <v>2.6710987119368435</v>
      </c>
      <c r="D16" s="17">
        <v>267.10987</v>
      </c>
      <c r="E16" s="18">
        <v>3.82979</v>
      </c>
      <c r="H16" s="6" t="s">
        <v>30</v>
      </c>
      <c r="I16" s="4">
        <v>8</v>
      </c>
      <c r="J16" s="4">
        <f t="shared" si="1"/>
        <v>2.2854530910753055</v>
      </c>
      <c r="K16" s="4">
        <v>228.54531</v>
      </c>
      <c r="L16" s="5">
        <v>5.1612900000000002</v>
      </c>
    </row>
    <row r="17" spans="1:12" x14ac:dyDescent="0.2">
      <c r="A17" s="16" t="s">
        <v>15</v>
      </c>
      <c r="B17" s="17">
        <v>9</v>
      </c>
      <c r="C17" s="23">
        <f t="shared" si="0"/>
        <v>2.6710987119368435</v>
      </c>
      <c r="D17" s="17">
        <v>267.10987</v>
      </c>
      <c r="E17" s="18">
        <v>3.82979</v>
      </c>
      <c r="H17" s="6" t="s">
        <v>22</v>
      </c>
      <c r="I17" s="4">
        <v>8</v>
      </c>
      <c r="J17" s="4">
        <f t="shared" si="1"/>
        <v>2.2854530910753055</v>
      </c>
      <c r="K17" s="4">
        <v>228.54531</v>
      </c>
      <c r="L17" s="5">
        <v>5.1612900000000002</v>
      </c>
    </row>
    <row r="18" spans="1:12" x14ac:dyDescent="0.2">
      <c r="A18" s="16" t="s">
        <v>16</v>
      </c>
      <c r="B18" s="17">
        <v>8</v>
      </c>
      <c r="C18" s="23">
        <f t="shared" si="0"/>
        <v>2.3743099661660829</v>
      </c>
      <c r="D18" s="17">
        <v>237.43100000000001</v>
      </c>
      <c r="E18" s="18">
        <v>3.4042599999999998</v>
      </c>
      <c r="H18" s="6" t="s">
        <v>18</v>
      </c>
      <c r="I18" s="4">
        <v>7</v>
      </c>
      <c r="J18" s="4">
        <f t="shared" si="1"/>
        <v>1.9997714546908925</v>
      </c>
      <c r="K18" s="4">
        <v>199.97714999999999</v>
      </c>
      <c r="L18" s="5">
        <v>4.5161300000000004</v>
      </c>
    </row>
    <row r="19" spans="1:12" x14ac:dyDescent="0.2">
      <c r="A19" s="16" t="s">
        <v>17</v>
      </c>
      <c r="B19" s="17">
        <v>8</v>
      </c>
      <c r="C19" s="23">
        <f t="shared" si="0"/>
        <v>2.3743099661660829</v>
      </c>
      <c r="D19" s="17">
        <v>237.43100000000001</v>
      </c>
      <c r="E19" s="18">
        <v>3.4042599999999998</v>
      </c>
      <c r="H19" s="6" t="s">
        <v>16</v>
      </c>
      <c r="I19" s="4">
        <v>6</v>
      </c>
      <c r="J19" s="4">
        <f t="shared" si="1"/>
        <v>1.7140898183064794</v>
      </c>
      <c r="K19" s="4">
        <v>171.40898000000001</v>
      </c>
      <c r="L19" s="5">
        <v>3.8709699999999998</v>
      </c>
    </row>
    <row r="20" spans="1:12" x14ac:dyDescent="0.2">
      <c r="A20" s="16" t="s">
        <v>18</v>
      </c>
      <c r="B20" s="17">
        <v>7</v>
      </c>
      <c r="C20" s="23">
        <f t="shared" si="0"/>
        <v>2.0775212203953228</v>
      </c>
      <c r="D20" s="17">
        <v>207.75211999999999</v>
      </c>
      <c r="E20" s="18">
        <v>2.97872</v>
      </c>
      <c r="H20" s="6" t="s">
        <v>46</v>
      </c>
      <c r="I20" s="4">
        <v>6</v>
      </c>
      <c r="J20" s="4">
        <f t="shared" si="1"/>
        <v>1.7140898183064794</v>
      </c>
      <c r="K20" s="4">
        <v>171.40898000000001</v>
      </c>
      <c r="L20" s="5">
        <v>3.8709699999999998</v>
      </c>
    </row>
    <row r="21" spans="1:12" x14ac:dyDescent="0.2">
      <c r="A21" s="16" t="s">
        <v>19</v>
      </c>
      <c r="B21" s="17">
        <v>7</v>
      </c>
      <c r="C21" s="23">
        <f t="shared" si="0"/>
        <v>2.0775212203953228</v>
      </c>
      <c r="D21" s="17">
        <v>207.75211999999999</v>
      </c>
      <c r="E21" s="18">
        <v>2.97872</v>
      </c>
      <c r="H21" s="6" t="s">
        <v>20</v>
      </c>
      <c r="I21" s="4">
        <v>6</v>
      </c>
      <c r="J21" s="4">
        <f t="shared" si="1"/>
        <v>1.7140898183064794</v>
      </c>
      <c r="K21" s="4">
        <v>171.40898000000001</v>
      </c>
      <c r="L21" s="5">
        <v>3.8709699999999998</v>
      </c>
    </row>
    <row r="22" spans="1:12" x14ac:dyDescent="0.2">
      <c r="A22" s="16" t="s">
        <v>20</v>
      </c>
      <c r="B22" s="17">
        <v>7</v>
      </c>
      <c r="C22" s="23">
        <f t="shared" si="0"/>
        <v>2.0775212203953228</v>
      </c>
      <c r="D22" s="17">
        <v>207.75211999999999</v>
      </c>
      <c r="E22" s="18">
        <v>2.97872</v>
      </c>
      <c r="H22" s="6" t="s">
        <v>40</v>
      </c>
      <c r="I22" s="4">
        <v>6</v>
      </c>
      <c r="J22" s="4">
        <f t="shared" si="1"/>
        <v>1.7140898183064794</v>
      </c>
      <c r="K22" s="4">
        <v>171.40898000000001</v>
      </c>
      <c r="L22" s="5">
        <v>3.8709699999999998</v>
      </c>
    </row>
    <row r="23" spans="1:12" x14ac:dyDescent="0.2">
      <c r="A23" s="16" t="s">
        <v>21</v>
      </c>
      <c r="B23" s="17">
        <v>7</v>
      </c>
      <c r="C23" s="23">
        <f t="shared" si="0"/>
        <v>2.0775212203953228</v>
      </c>
      <c r="D23" s="17">
        <v>207.75211999999999</v>
      </c>
      <c r="E23" s="18">
        <v>2.97872</v>
      </c>
      <c r="H23" s="6" t="s">
        <v>43</v>
      </c>
      <c r="I23" s="4">
        <v>4</v>
      </c>
      <c r="J23" s="4">
        <f t="shared" si="1"/>
        <v>1.1427265455376527</v>
      </c>
      <c r="K23" s="4">
        <v>114.27265</v>
      </c>
      <c r="L23" s="5">
        <v>2.5806499999999999</v>
      </c>
    </row>
    <row r="24" spans="1:12" x14ac:dyDescent="0.2">
      <c r="A24" s="16" t="s">
        <v>22</v>
      </c>
      <c r="B24" s="17">
        <v>6</v>
      </c>
      <c r="C24" s="23">
        <f t="shared" si="0"/>
        <v>1.7807324746245623</v>
      </c>
      <c r="D24" s="17">
        <v>178.07325</v>
      </c>
      <c r="E24" s="18">
        <v>2.5531899999999998</v>
      </c>
      <c r="H24" s="6" t="s">
        <v>42</v>
      </c>
      <c r="I24" s="4">
        <v>4</v>
      </c>
      <c r="J24" s="4">
        <f t="shared" si="1"/>
        <v>1.1427265455376527</v>
      </c>
      <c r="K24" s="4">
        <v>114.27265</v>
      </c>
      <c r="L24" s="5">
        <v>2.5806499999999999</v>
      </c>
    </row>
    <row r="25" spans="1:12" x14ac:dyDescent="0.2">
      <c r="A25" s="16" t="s">
        <v>23</v>
      </c>
      <c r="B25" s="17">
        <v>6</v>
      </c>
      <c r="C25" s="23">
        <f t="shared" si="0"/>
        <v>1.7807324746245623</v>
      </c>
      <c r="D25" s="17">
        <v>178.07325</v>
      </c>
      <c r="E25" s="18">
        <v>2.5531899999999998</v>
      </c>
      <c r="H25" s="6" t="s">
        <v>23</v>
      </c>
      <c r="I25" s="4">
        <v>4</v>
      </c>
      <c r="J25" s="4">
        <f t="shared" si="1"/>
        <v>1.1427265455376527</v>
      </c>
      <c r="K25" s="4">
        <v>114.27265</v>
      </c>
      <c r="L25" s="5">
        <v>2.5806499999999999</v>
      </c>
    </row>
    <row r="26" spans="1:12" x14ac:dyDescent="0.2">
      <c r="A26" s="16" t="s">
        <v>24</v>
      </c>
      <c r="B26" s="17">
        <v>5</v>
      </c>
      <c r="C26" s="23">
        <f t="shared" si="0"/>
        <v>1.483943728853802</v>
      </c>
      <c r="D26" s="17">
        <v>148.39437000000001</v>
      </c>
      <c r="E26" s="18">
        <v>2.1276600000000001</v>
      </c>
      <c r="H26" s="6" t="s">
        <v>21</v>
      </c>
      <c r="I26" s="4">
        <v>4</v>
      </c>
      <c r="J26" s="4">
        <f t="shared" si="1"/>
        <v>1.1427265455376527</v>
      </c>
      <c r="K26" s="4">
        <v>114.27265</v>
      </c>
      <c r="L26" s="5">
        <v>2.5806499999999999</v>
      </c>
    </row>
    <row r="27" spans="1:12" x14ac:dyDescent="0.2">
      <c r="A27" s="16" t="s">
        <v>25</v>
      </c>
      <c r="B27" s="17">
        <v>5</v>
      </c>
      <c r="C27" s="23">
        <f t="shared" si="0"/>
        <v>1.483943728853802</v>
      </c>
      <c r="D27" s="17">
        <v>148.39437000000001</v>
      </c>
      <c r="E27" s="18">
        <v>2.1276600000000001</v>
      </c>
      <c r="H27" s="6" t="s">
        <v>35</v>
      </c>
      <c r="I27" s="4">
        <v>4</v>
      </c>
      <c r="J27" s="4">
        <f t="shared" si="1"/>
        <v>1.1427265455376527</v>
      </c>
      <c r="K27" s="4">
        <v>114.27265</v>
      </c>
      <c r="L27" s="5">
        <v>2.5806499999999999</v>
      </c>
    </row>
    <row r="28" spans="1:12" x14ac:dyDescent="0.2">
      <c r="A28" s="16" t="s">
        <v>26</v>
      </c>
      <c r="B28" s="17">
        <v>5</v>
      </c>
      <c r="C28" s="23">
        <f t="shared" si="0"/>
        <v>1.483943728853802</v>
      </c>
      <c r="D28" s="17">
        <v>148.39437000000001</v>
      </c>
      <c r="E28" s="18">
        <v>2.1276600000000001</v>
      </c>
      <c r="H28" s="6" t="s">
        <v>14</v>
      </c>
      <c r="I28" s="4">
        <v>4</v>
      </c>
      <c r="J28" s="4">
        <f t="shared" si="1"/>
        <v>1.1427265455376527</v>
      </c>
      <c r="K28" s="4">
        <v>114.27265</v>
      </c>
      <c r="L28" s="5">
        <v>2.5806499999999999</v>
      </c>
    </row>
    <row r="29" spans="1:12" x14ac:dyDescent="0.2">
      <c r="A29" s="16" t="s">
        <v>27</v>
      </c>
      <c r="B29" s="17">
        <v>5</v>
      </c>
      <c r="C29" s="23">
        <f t="shared" si="0"/>
        <v>1.483943728853802</v>
      </c>
      <c r="D29" s="17">
        <v>148.39437000000001</v>
      </c>
      <c r="E29" s="18">
        <v>2.1276600000000001</v>
      </c>
      <c r="H29" s="6" t="s">
        <v>38</v>
      </c>
      <c r="I29" s="4">
        <v>3</v>
      </c>
      <c r="J29" s="4">
        <f t="shared" si="1"/>
        <v>0.85704490915323972</v>
      </c>
      <c r="K29" s="4">
        <v>85.704490000000007</v>
      </c>
      <c r="L29" s="5">
        <v>1.9354800000000001</v>
      </c>
    </row>
    <row r="30" spans="1:12" x14ac:dyDescent="0.2">
      <c r="A30" s="16" t="s">
        <v>28</v>
      </c>
      <c r="B30" s="17">
        <v>5</v>
      </c>
      <c r="C30" s="23">
        <f t="shared" si="0"/>
        <v>1.483943728853802</v>
      </c>
      <c r="D30" s="17">
        <v>148.39437000000001</v>
      </c>
      <c r="E30" s="18">
        <v>2.1276600000000001</v>
      </c>
      <c r="H30" s="6" t="s">
        <v>32</v>
      </c>
      <c r="I30" s="4">
        <v>3</v>
      </c>
      <c r="J30" s="4">
        <f t="shared" si="1"/>
        <v>0.85704490915323972</v>
      </c>
      <c r="K30" s="4">
        <v>85.704490000000007</v>
      </c>
      <c r="L30" s="5">
        <v>1.9354800000000001</v>
      </c>
    </row>
    <row r="31" spans="1:12" x14ac:dyDescent="0.2">
      <c r="A31" s="16" t="s">
        <v>29</v>
      </c>
      <c r="B31" s="17">
        <v>5</v>
      </c>
      <c r="C31" s="23">
        <f t="shared" si="0"/>
        <v>1.483943728853802</v>
      </c>
      <c r="D31" s="17">
        <v>148.39437000000001</v>
      </c>
      <c r="E31" s="18">
        <v>2.1276600000000001</v>
      </c>
      <c r="H31" s="6" t="s">
        <v>37</v>
      </c>
      <c r="I31" s="4">
        <v>3</v>
      </c>
      <c r="J31" s="4">
        <f t="shared" si="1"/>
        <v>0.85704490915323972</v>
      </c>
      <c r="K31" s="4">
        <v>85.704490000000007</v>
      </c>
      <c r="L31" s="5">
        <v>1.9354800000000001</v>
      </c>
    </row>
    <row r="32" spans="1:12" x14ac:dyDescent="0.2">
      <c r="A32" s="16" t="s">
        <v>30</v>
      </c>
      <c r="B32" s="17">
        <v>5</v>
      </c>
      <c r="C32" s="23">
        <f t="shared" si="0"/>
        <v>1.483943728853802</v>
      </c>
      <c r="D32" s="17">
        <v>148.39437000000001</v>
      </c>
      <c r="E32" s="18">
        <v>2.1276600000000001</v>
      </c>
      <c r="H32" s="6" t="s">
        <v>27</v>
      </c>
      <c r="I32" s="4">
        <v>3</v>
      </c>
      <c r="J32" s="4">
        <f t="shared" si="1"/>
        <v>0.85704490915323972</v>
      </c>
      <c r="K32" s="4">
        <v>85.704490000000007</v>
      </c>
      <c r="L32" s="5">
        <v>1.9354800000000001</v>
      </c>
    </row>
    <row r="33" spans="1:12" x14ac:dyDescent="0.2">
      <c r="A33" s="16" t="s">
        <v>31</v>
      </c>
      <c r="B33" s="17">
        <v>4</v>
      </c>
      <c r="C33" s="23">
        <f t="shared" si="0"/>
        <v>1.1871549830830415</v>
      </c>
      <c r="D33" s="17">
        <v>118.71550000000001</v>
      </c>
      <c r="E33" s="18">
        <v>1.7021299999999999</v>
      </c>
      <c r="H33" s="6" t="s">
        <v>39</v>
      </c>
      <c r="I33" s="4">
        <v>2</v>
      </c>
      <c r="J33" s="4">
        <f t="shared" si="1"/>
        <v>0.57136327276882637</v>
      </c>
      <c r="K33" s="4">
        <v>57.136330000000001</v>
      </c>
      <c r="L33" s="5">
        <v>1.2903199999999999</v>
      </c>
    </row>
    <row r="34" spans="1:12" x14ac:dyDescent="0.2">
      <c r="A34" s="16" t="s">
        <v>32</v>
      </c>
      <c r="B34" s="17">
        <v>4</v>
      </c>
      <c r="C34" s="23">
        <f t="shared" si="0"/>
        <v>1.1871549830830415</v>
      </c>
      <c r="D34" s="17">
        <v>118.71550000000001</v>
      </c>
      <c r="E34" s="18">
        <v>1.7021299999999999</v>
      </c>
      <c r="H34" s="6" t="s">
        <v>11</v>
      </c>
      <c r="I34" s="4">
        <v>2</v>
      </c>
      <c r="J34" s="4">
        <f t="shared" si="1"/>
        <v>0.57136327276882637</v>
      </c>
      <c r="K34" s="4">
        <v>57.136330000000001</v>
      </c>
      <c r="L34" s="5">
        <v>1.2903199999999999</v>
      </c>
    </row>
    <row r="35" spans="1:12" x14ac:dyDescent="0.2">
      <c r="A35" s="16" t="s">
        <v>33</v>
      </c>
      <c r="B35" s="17">
        <v>4</v>
      </c>
      <c r="C35" s="23">
        <f t="shared" si="0"/>
        <v>1.1871549830830415</v>
      </c>
      <c r="D35" s="17">
        <v>118.71550000000001</v>
      </c>
      <c r="E35" s="18">
        <v>1.7021299999999999</v>
      </c>
      <c r="H35" s="6" t="s">
        <v>31</v>
      </c>
      <c r="I35" s="4">
        <v>2</v>
      </c>
      <c r="J35" s="4">
        <f t="shared" si="1"/>
        <v>0.57136327276882637</v>
      </c>
      <c r="K35" s="4">
        <v>57.136330000000001</v>
      </c>
      <c r="L35" s="5">
        <v>1.2903199999999999</v>
      </c>
    </row>
    <row r="36" spans="1:12" x14ac:dyDescent="0.2">
      <c r="A36" s="16" t="s">
        <v>34</v>
      </c>
      <c r="B36" s="17">
        <v>4</v>
      </c>
      <c r="C36" s="23">
        <f t="shared" si="0"/>
        <v>1.1871549830830415</v>
      </c>
      <c r="D36" s="17">
        <v>118.71550000000001</v>
      </c>
      <c r="E36" s="18">
        <v>1.7021299999999999</v>
      </c>
      <c r="H36" s="6" t="s">
        <v>15</v>
      </c>
      <c r="I36" s="4">
        <v>2</v>
      </c>
      <c r="J36" s="4">
        <f t="shared" si="1"/>
        <v>0.57136327276882637</v>
      </c>
      <c r="K36" s="4">
        <v>57.136330000000001</v>
      </c>
      <c r="L36" s="5">
        <v>1.2903199999999999</v>
      </c>
    </row>
    <row r="37" spans="1:12" x14ac:dyDescent="0.2">
      <c r="A37" s="16" t="s">
        <v>35</v>
      </c>
      <c r="B37" s="17">
        <v>4</v>
      </c>
      <c r="C37" s="23">
        <f t="shared" si="0"/>
        <v>1.1871549830830415</v>
      </c>
      <c r="D37" s="17">
        <v>118.71550000000001</v>
      </c>
      <c r="E37" s="18">
        <v>1.7021299999999999</v>
      </c>
      <c r="H37" s="6" t="s">
        <v>36</v>
      </c>
      <c r="I37" s="4">
        <v>2</v>
      </c>
      <c r="J37" s="4">
        <f t="shared" si="1"/>
        <v>0.57136327276882637</v>
      </c>
      <c r="K37" s="4">
        <v>57.136330000000001</v>
      </c>
      <c r="L37" s="5">
        <v>1.2903199999999999</v>
      </c>
    </row>
    <row r="38" spans="1:12" x14ac:dyDescent="0.2">
      <c r="A38" s="16" t="s">
        <v>36</v>
      </c>
      <c r="B38" s="17">
        <v>3</v>
      </c>
      <c r="C38" s="23">
        <f t="shared" si="0"/>
        <v>0.89036623731228115</v>
      </c>
      <c r="D38" s="17">
        <v>89.036619999999999</v>
      </c>
      <c r="E38" s="18">
        <v>1.2766</v>
      </c>
      <c r="H38" s="6" t="s">
        <v>34</v>
      </c>
      <c r="I38" s="4">
        <v>2</v>
      </c>
      <c r="J38" s="4">
        <f t="shared" si="1"/>
        <v>0.57136327276882637</v>
      </c>
      <c r="K38" s="4">
        <v>57.136330000000001</v>
      </c>
      <c r="L38" s="5">
        <v>1.2903199999999999</v>
      </c>
    </row>
    <row r="39" spans="1:12" x14ac:dyDescent="0.2">
      <c r="A39" s="16" t="s">
        <v>37</v>
      </c>
      <c r="B39" s="17">
        <v>3</v>
      </c>
      <c r="C39" s="23">
        <f t="shared" si="0"/>
        <v>0.89036623731228115</v>
      </c>
      <c r="D39" s="17">
        <v>89.036619999999999</v>
      </c>
      <c r="E39" s="18">
        <v>1.2766</v>
      </c>
      <c r="H39" s="6" t="s">
        <v>17</v>
      </c>
      <c r="I39" s="4">
        <v>1</v>
      </c>
      <c r="J39" s="4">
        <f t="shared" si="1"/>
        <v>0.28568163638441318</v>
      </c>
      <c r="K39" s="4">
        <v>28.568159999999999</v>
      </c>
      <c r="L39" s="5">
        <v>0.64515999999999996</v>
      </c>
    </row>
    <row r="40" spans="1:12" x14ac:dyDescent="0.2">
      <c r="A40" s="16" t="s">
        <v>38</v>
      </c>
      <c r="B40" s="17">
        <v>3</v>
      </c>
      <c r="C40" s="23">
        <f t="shared" si="0"/>
        <v>0.89036623731228115</v>
      </c>
      <c r="D40" s="17">
        <v>89.036619999999999</v>
      </c>
      <c r="E40" s="18">
        <v>1.2766</v>
      </c>
      <c r="H40" s="6" t="s">
        <v>12</v>
      </c>
      <c r="I40" s="4">
        <v>1</v>
      </c>
      <c r="J40" s="4">
        <f t="shared" si="1"/>
        <v>0.28568163638441318</v>
      </c>
      <c r="K40" s="4">
        <v>28.568159999999999</v>
      </c>
      <c r="L40" s="5">
        <v>0.64515999999999996</v>
      </c>
    </row>
    <row r="41" spans="1:12" x14ac:dyDescent="0.2">
      <c r="A41" s="16" t="s">
        <v>39</v>
      </c>
      <c r="B41" s="17">
        <v>3</v>
      </c>
      <c r="C41" s="23">
        <f>(B41/33694)*10000</f>
        <v>0.89036623731228115</v>
      </c>
      <c r="D41" s="17">
        <v>89.036619999999999</v>
      </c>
      <c r="E41" s="18">
        <v>1.2766</v>
      </c>
      <c r="H41" s="6" t="s">
        <v>47</v>
      </c>
      <c r="I41" s="4">
        <v>1</v>
      </c>
      <c r="J41" s="4">
        <f t="shared" si="1"/>
        <v>0.28568163638441318</v>
      </c>
      <c r="K41" s="4">
        <v>28.568159999999999</v>
      </c>
      <c r="L41" s="5">
        <v>0.64515999999999996</v>
      </c>
    </row>
    <row r="42" spans="1:12" x14ac:dyDescent="0.2">
      <c r="A42" s="16" t="s">
        <v>40</v>
      </c>
      <c r="B42" s="17">
        <v>2</v>
      </c>
      <c r="C42" s="23">
        <f t="shared" si="0"/>
        <v>0.59357749154152073</v>
      </c>
      <c r="D42" s="17">
        <v>59.357750000000003</v>
      </c>
      <c r="E42" s="18">
        <v>0.85106000000000004</v>
      </c>
      <c r="H42" s="6" t="s">
        <v>28</v>
      </c>
      <c r="I42" s="4">
        <v>1</v>
      </c>
      <c r="J42" s="4">
        <f t="shared" si="1"/>
        <v>0.28568163638441318</v>
      </c>
      <c r="K42" s="4">
        <v>28.568159999999999</v>
      </c>
      <c r="L42" s="5">
        <v>0.64515999999999996</v>
      </c>
    </row>
    <row r="43" spans="1:12" x14ac:dyDescent="0.2">
      <c r="A43" s="16" t="s">
        <v>41</v>
      </c>
      <c r="B43" s="17">
        <v>2</v>
      </c>
      <c r="C43" s="23">
        <f t="shared" si="0"/>
        <v>0.59357749154152073</v>
      </c>
      <c r="D43" s="17">
        <v>59.357750000000003</v>
      </c>
      <c r="E43" s="18">
        <v>0.85106000000000004</v>
      </c>
      <c r="H43" s="6" t="s">
        <v>33</v>
      </c>
      <c r="I43" s="4">
        <v>1</v>
      </c>
      <c r="J43" s="4">
        <f t="shared" si="1"/>
        <v>0.28568163638441318</v>
      </c>
      <c r="K43" s="4">
        <v>28.568159999999999</v>
      </c>
      <c r="L43" s="5">
        <v>0.64515999999999996</v>
      </c>
    </row>
    <row r="44" spans="1:12" ht="15.75" thickBot="1" x14ac:dyDescent="0.25">
      <c r="A44" s="16" t="s">
        <v>42</v>
      </c>
      <c r="B44" s="17">
        <v>1</v>
      </c>
      <c r="C44" s="23">
        <f t="shared" si="0"/>
        <v>0.29678874577076036</v>
      </c>
      <c r="D44" s="17">
        <v>29.67887</v>
      </c>
      <c r="E44" s="18">
        <v>0.42553000000000002</v>
      </c>
      <c r="H44" s="9" t="s">
        <v>13</v>
      </c>
      <c r="I44" s="10">
        <v>1</v>
      </c>
      <c r="J44" s="4">
        <f t="shared" si="1"/>
        <v>0.28568163638441318</v>
      </c>
      <c r="K44" s="10">
        <v>28.568159999999999</v>
      </c>
      <c r="L44" s="11">
        <v>0.64515999999999996</v>
      </c>
    </row>
    <row r="45" spans="1:12" ht="15.75" thickBot="1" x14ac:dyDescent="0.25">
      <c r="A45" s="19" t="s">
        <v>43</v>
      </c>
      <c r="B45" s="20">
        <v>1</v>
      </c>
      <c r="C45" s="23">
        <f t="shared" si="0"/>
        <v>0.29678874577076036</v>
      </c>
      <c r="D45" s="20">
        <v>29.67887</v>
      </c>
      <c r="E45" s="21">
        <v>0.42553000000000002</v>
      </c>
    </row>
    <row r="46" spans="1:12" x14ac:dyDescent="0.2">
      <c r="I46" s="31">
        <f>SUM(I11:I44)</f>
        <v>155</v>
      </c>
      <c r="J46" s="33"/>
    </row>
    <row r="47" spans="1:12" x14ac:dyDescent="0.2">
      <c r="B47" s="31">
        <f>SUM(B11:B45)</f>
        <v>235</v>
      </c>
      <c r="C47" s="33"/>
      <c r="I47" t="s">
        <v>185</v>
      </c>
    </row>
    <row r="48" spans="1:12" x14ac:dyDescent="0.2">
      <c r="B48" t="s">
        <v>185</v>
      </c>
      <c r="I48">
        <f>(155/35004)*10000</f>
        <v>44.280653639584045</v>
      </c>
    </row>
    <row r="49" spans="1:3" x14ac:dyDescent="0.2">
      <c r="B49">
        <f>(235/33694)*10000</f>
        <v>69.74535525612869</v>
      </c>
    </row>
    <row r="50" spans="1:3" x14ac:dyDescent="0.2">
      <c r="A50" s="33"/>
      <c r="B50" s="33"/>
      <c r="C50" s="33"/>
    </row>
    <row r="51" spans="1:3" x14ac:dyDescent="0.2">
      <c r="A51" s="33"/>
      <c r="B51" s="33"/>
      <c r="C51" s="33"/>
    </row>
    <row r="52" spans="1:3" x14ac:dyDescent="0.2">
      <c r="A52" s="33"/>
      <c r="B52" s="33"/>
      <c r="C52" s="33"/>
    </row>
    <row r="53" spans="1:3" x14ac:dyDescent="0.2">
      <c r="A53" s="33"/>
      <c r="B53" s="33"/>
      <c r="C53" s="33"/>
    </row>
    <row r="55" spans="1:3" x14ac:dyDescent="0.2">
      <c r="A55" s="32"/>
      <c r="B55" s="32" t="s">
        <v>183</v>
      </c>
      <c r="C55" s="32" t="s">
        <v>184</v>
      </c>
    </row>
    <row r="56" spans="1:3" x14ac:dyDescent="0.2">
      <c r="A56" s="32" t="s">
        <v>180</v>
      </c>
      <c r="B56" s="32">
        <v>69.745000000000005</v>
      </c>
      <c r="C56" s="32">
        <v>44.280999999999999</v>
      </c>
    </row>
    <row r="57" spans="1:3" x14ac:dyDescent="0.2">
      <c r="A57" s="32" t="s">
        <v>181</v>
      </c>
      <c r="B57" s="32">
        <v>48.97</v>
      </c>
      <c r="C57" s="32">
        <v>48.851999999999997</v>
      </c>
    </row>
    <row r="58" spans="1:3" x14ac:dyDescent="0.2">
      <c r="A58" s="32" t="s">
        <v>182</v>
      </c>
      <c r="B58" s="32">
        <v>136.523</v>
      </c>
      <c r="C58" s="32">
        <v>170.83799999999999</v>
      </c>
    </row>
  </sheetData>
  <mergeCells count="6">
    <mergeCell ref="A1:B1"/>
    <mergeCell ref="H9:L9"/>
    <mergeCell ref="A9:E9"/>
    <mergeCell ref="A5:B5"/>
    <mergeCell ref="A6:D6"/>
    <mergeCell ref="A7:B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4ED24-EF33-FD43-BD0C-67F978BD794B}">
  <dimension ref="A1:M44"/>
  <sheetViews>
    <sheetView topLeftCell="E29" zoomScaleNormal="80" zoomScaleSheetLayoutView="100" workbookViewId="0">
      <selection activeCell="J43" sqref="J43"/>
    </sheetView>
  </sheetViews>
  <sheetFormatPr defaultRowHeight="15" x14ac:dyDescent="0.2"/>
  <cols>
    <col min="2" max="2" width="11.703125" bestFit="1" customWidth="1"/>
    <col min="3" max="3" width="11.02734375" customWidth="1"/>
    <col min="4" max="4" width="10.625" bestFit="1" customWidth="1"/>
    <col min="10" max="10" width="11.703125" bestFit="1" customWidth="1"/>
    <col min="11" max="11" width="9.953125" customWidth="1"/>
    <col min="12" max="12" width="9.68359375" bestFit="1" customWidth="1"/>
  </cols>
  <sheetData>
    <row r="1" spans="1:13" x14ac:dyDescent="0.2">
      <c r="A1" t="s">
        <v>0</v>
      </c>
      <c r="I1" t="s">
        <v>0</v>
      </c>
    </row>
    <row r="2" spans="1:13" x14ac:dyDescent="0.2">
      <c r="A2" t="s">
        <v>1</v>
      </c>
      <c r="I2" t="s">
        <v>1</v>
      </c>
    </row>
    <row r="3" spans="1:13" x14ac:dyDescent="0.2">
      <c r="A3" s="22" t="s">
        <v>2</v>
      </c>
      <c r="I3" s="22" t="s">
        <v>44</v>
      </c>
    </row>
    <row r="4" spans="1:13" x14ac:dyDescent="0.2">
      <c r="A4" t="s">
        <v>48</v>
      </c>
      <c r="I4" t="s">
        <v>79</v>
      </c>
    </row>
    <row r="5" spans="1:13" ht="61.5" customHeight="1" x14ac:dyDescent="0.2">
      <c r="A5" s="46" t="s">
        <v>49</v>
      </c>
      <c r="B5" s="46"/>
      <c r="C5" s="46"/>
      <c r="D5" s="46"/>
      <c r="E5" s="46"/>
      <c r="F5" s="46"/>
      <c r="I5" s="47" t="s">
        <v>49</v>
      </c>
      <c r="J5" s="47"/>
      <c r="K5" s="47"/>
      <c r="L5" s="47"/>
      <c r="M5" s="47"/>
    </row>
    <row r="6" spans="1:13" x14ac:dyDescent="0.2">
      <c r="A6" t="s">
        <v>5</v>
      </c>
      <c r="B6" t="s">
        <v>6</v>
      </c>
      <c r="C6" t="s">
        <v>179</v>
      </c>
      <c r="D6" t="s">
        <v>7</v>
      </c>
      <c r="E6" t="s">
        <v>8</v>
      </c>
      <c r="I6" t="s">
        <v>5</v>
      </c>
      <c r="J6" t="s">
        <v>6</v>
      </c>
      <c r="K6" t="s">
        <v>179</v>
      </c>
      <c r="L6" t="s">
        <v>7</v>
      </c>
      <c r="M6" t="s">
        <v>8</v>
      </c>
    </row>
    <row r="7" spans="1:13" x14ac:dyDescent="0.2">
      <c r="A7" t="s">
        <v>50</v>
      </c>
      <c r="B7">
        <v>37</v>
      </c>
      <c r="C7">
        <f>(B7/3394)*10000</f>
        <v>109.01591043017089</v>
      </c>
      <c r="D7">
        <v>1098.1183599999999</v>
      </c>
      <c r="E7">
        <v>22.424240000000001</v>
      </c>
      <c r="I7" t="s">
        <v>50</v>
      </c>
      <c r="J7">
        <v>21</v>
      </c>
      <c r="K7">
        <f>(J7/35004)*10000</f>
        <v>5.9993143640726769</v>
      </c>
      <c r="L7">
        <v>599.93143999999995</v>
      </c>
      <c r="M7">
        <v>12.2807</v>
      </c>
    </row>
    <row r="8" spans="1:13" x14ac:dyDescent="0.2">
      <c r="A8" t="s">
        <v>51</v>
      </c>
      <c r="B8">
        <v>19</v>
      </c>
      <c r="C8">
        <f t="shared" ref="C8:C35" si="0">(B8/3394)*10000</f>
        <v>55.981143193871532</v>
      </c>
      <c r="D8">
        <v>563.89862000000005</v>
      </c>
      <c r="E8">
        <v>11.51515</v>
      </c>
      <c r="I8" t="s">
        <v>67</v>
      </c>
      <c r="J8">
        <v>20</v>
      </c>
      <c r="K8">
        <f t="shared" ref="K8:K40" si="1">(J8/35004)*10000</f>
        <v>5.7136327276882639</v>
      </c>
      <c r="L8">
        <v>571.36327000000006</v>
      </c>
      <c r="M8">
        <v>11.69591</v>
      </c>
    </row>
    <row r="9" spans="1:13" x14ac:dyDescent="0.2">
      <c r="A9" t="s">
        <v>52</v>
      </c>
      <c r="B9">
        <v>9</v>
      </c>
      <c r="C9">
        <f t="shared" si="0"/>
        <v>26.517383618149676</v>
      </c>
      <c r="D9">
        <v>267.10987</v>
      </c>
      <c r="E9">
        <v>5.4545500000000002</v>
      </c>
      <c r="I9" t="s">
        <v>51</v>
      </c>
      <c r="J9">
        <v>17</v>
      </c>
      <c r="K9">
        <f t="shared" si="1"/>
        <v>4.856587818535024</v>
      </c>
      <c r="L9">
        <v>485.65877999999998</v>
      </c>
      <c r="M9">
        <v>9.9415200000000006</v>
      </c>
    </row>
    <row r="10" spans="1:13" x14ac:dyDescent="0.2">
      <c r="A10" t="s">
        <v>53</v>
      </c>
      <c r="B10">
        <v>9</v>
      </c>
      <c r="C10">
        <f t="shared" si="0"/>
        <v>26.517383618149676</v>
      </c>
      <c r="D10">
        <v>267.10987</v>
      </c>
      <c r="E10">
        <v>5.4545500000000002</v>
      </c>
      <c r="I10" t="s">
        <v>70</v>
      </c>
      <c r="J10">
        <v>10</v>
      </c>
      <c r="K10">
        <f t="shared" si="1"/>
        <v>2.856816363844132</v>
      </c>
      <c r="L10">
        <v>285.68164000000002</v>
      </c>
      <c r="M10">
        <v>5.84795</v>
      </c>
    </row>
    <row r="11" spans="1:13" x14ac:dyDescent="0.2">
      <c r="A11" t="s">
        <v>54</v>
      </c>
      <c r="B11">
        <v>7</v>
      </c>
      <c r="C11">
        <f t="shared" si="0"/>
        <v>20.624631703005303</v>
      </c>
      <c r="D11">
        <v>207.75211999999999</v>
      </c>
      <c r="E11">
        <v>4.2424200000000001</v>
      </c>
      <c r="I11" t="s">
        <v>77</v>
      </c>
      <c r="J11">
        <v>9</v>
      </c>
      <c r="K11">
        <f t="shared" si="1"/>
        <v>2.5711347274597189</v>
      </c>
      <c r="L11">
        <v>257.11347000000001</v>
      </c>
      <c r="M11">
        <v>5.2631600000000001</v>
      </c>
    </row>
    <row r="12" spans="1:13" x14ac:dyDescent="0.2">
      <c r="A12" t="s">
        <v>55</v>
      </c>
      <c r="B12">
        <v>7</v>
      </c>
      <c r="C12">
        <f t="shared" si="0"/>
        <v>20.624631703005303</v>
      </c>
      <c r="D12">
        <v>207.75211999999999</v>
      </c>
      <c r="E12">
        <v>4.2424200000000001</v>
      </c>
      <c r="I12" t="s">
        <v>80</v>
      </c>
      <c r="J12">
        <v>8</v>
      </c>
      <c r="K12">
        <f t="shared" si="1"/>
        <v>2.2854530910753055</v>
      </c>
      <c r="L12">
        <v>228.54531</v>
      </c>
      <c r="M12">
        <v>4.6783599999999996</v>
      </c>
    </row>
    <row r="13" spans="1:13" x14ac:dyDescent="0.2">
      <c r="A13" t="s">
        <v>56</v>
      </c>
      <c r="B13">
        <v>6</v>
      </c>
      <c r="C13">
        <f t="shared" si="0"/>
        <v>17.678255745433116</v>
      </c>
      <c r="D13">
        <v>178.07325</v>
      </c>
      <c r="E13">
        <v>3.6363599999999998</v>
      </c>
      <c r="I13" t="s">
        <v>58</v>
      </c>
      <c r="J13">
        <v>8</v>
      </c>
      <c r="K13">
        <f t="shared" si="1"/>
        <v>2.2854530910753055</v>
      </c>
      <c r="L13">
        <v>228.54531</v>
      </c>
      <c r="M13">
        <v>4.6783599999999996</v>
      </c>
    </row>
    <row r="14" spans="1:13" x14ac:dyDescent="0.2">
      <c r="A14" t="s">
        <v>57</v>
      </c>
      <c r="B14">
        <v>6</v>
      </c>
      <c r="C14">
        <f t="shared" si="0"/>
        <v>17.678255745433116</v>
      </c>
      <c r="D14">
        <v>178.07325</v>
      </c>
      <c r="E14">
        <v>3.6363599999999998</v>
      </c>
      <c r="I14" t="s">
        <v>74</v>
      </c>
      <c r="J14">
        <v>7</v>
      </c>
      <c r="K14">
        <f t="shared" si="1"/>
        <v>1.9997714546908925</v>
      </c>
      <c r="L14">
        <v>199.97714999999999</v>
      </c>
      <c r="M14">
        <v>4.0935699999999997</v>
      </c>
    </row>
    <row r="15" spans="1:13" x14ac:dyDescent="0.2">
      <c r="A15" t="s">
        <v>58</v>
      </c>
      <c r="B15">
        <v>6</v>
      </c>
      <c r="C15">
        <f t="shared" si="0"/>
        <v>17.678255745433116</v>
      </c>
      <c r="D15">
        <v>178.07325</v>
      </c>
      <c r="E15">
        <v>3.6363599999999998</v>
      </c>
      <c r="I15" t="s">
        <v>81</v>
      </c>
      <c r="J15">
        <v>6</v>
      </c>
      <c r="K15">
        <f t="shared" si="1"/>
        <v>1.7140898183064794</v>
      </c>
      <c r="L15">
        <v>171.40898000000001</v>
      </c>
      <c r="M15">
        <v>3.5087700000000002</v>
      </c>
    </row>
    <row r="16" spans="1:13" x14ac:dyDescent="0.2">
      <c r="A16" t="s">
        <v>59</v>
      </c>
      <c r="B16">
        <v>5</v>
      </c>
      <c r="C16">
        <f t="shared" si="0"/>
        <v>14.731879787860931</v>
      </c>
      <c r="D16">
        <v>148.39437000000001</v>
      </c>
      <c r="E16">
        <v>3.0303</v>
      </c>
      <c r="I16" t="s">
        <v>54</v>
      </c>
      <c r="J16">
        <v>6</v>
      </c>
      <c r="K16">
        <f t="shared" si="1"/>
        <v>1.7140898183064794</v>
      </c>
      <c r="L16">
        <v>171.40898000000001</v>
      </c>
      <c r="M16">
        <v>3.5087700000000002</v>
      </c>
    </row>
    <row r="17" spans="1:13" x14ac:dyDescent="0.2">
      <c r="A17" t="s">
        <v>60</v>
      </c>
      <c r="B17">
        <v>5</v>
      </c>
      <c r="C17">
        <f t="shared" si="0"/>
        <v>14.731879787860931</v>
      </c>
      <c r="D17">
        <v>148.39437000000001</v>
      </c>
      <c r="E17">
        <v>3.0303</v>
      </c>
      <c r="I17" t="s">
        <v>53</v>
      </c>
      <c r="J17">
        <v>6</v>
      </c>
      <c r="K17">
        <f t="shared" si="1"/>
        <v>1.7140898183064794</v>
      </c>
      <c r="L17">
        <v>171.40898000000001</v>
      </c>
      <c r="M17">
        <v>3.5087700000000002</v>
      </c>
    </row>
    <row r="18" spans="1:13" x14ac:dyDescent="0.2">
      <c r="A18" t="s">
        <v>61</v>
      </c>
      <c r="B18">
        <v>5</v>
      </c>
      <c r="C18">
        <f t="shared" si="0"/>
        <v>14.731879787860931</v>
      </c>
      <c r="D18">
        <v>148.39437000000001</v>
      </c>
      <c r="E18">
        <v>3.0303</v>
      </c>
      <c r="I18" t="s">
        <v>75</v>
      </c>
      <c r="J18">
        <v>5</v>
      </c>
      <c r="K18">
        <f t="shared" si="1"/>
        <v>1.428408181922066</v>
      </c>
      <c r="L18">
        <v>142.84082000000001</v>
      </c>
      <c r="M18">
        <v>2.9239799999999998</v>
      </c>
    </row>
    <row r="19" spans="1:13" x14ac:dyDescent="0.2">
      <c r="A19" t="s">
        <v>62</v>
      </c>
      <c r="B19">
        <v>5</v>
      </c>
      <c r="C19">
        <f t="shared" si="0"/>
        <v>14.731879787860931</v>
      </c>
      <c r="D19">
        <v>148.39437000000001</v>
      </c>
      <c r="E19">
        <v>3.0303</v>
      </c>
      <c r="I19" t="s">
        <v>82</v>
      </c>
      <c r="J19">
        <v>5</v>
      </c>
      <c r="K19">
        <f t="shared" si="1"/>
        <v>1.428408181922066</v>
      </c>
      <c r="L19">
        <v>142.84082000000001</v>
      </c>
      <c r="M19">
        <v>2.9239799999999998</v>
      </c>
    </row>
    <row r="20" spans="1:13" x14ac:dyDescent="0.2">
      <c r="A20" t="s">
        <v>63</v>
      </c>
      <c r="B20">
        <v>4</v>
      </c>
      <c r="C20">
        <f t="shared" si="0"/>
        <v>11.785503830288745</v>
      </c>
      <c r="D20">
        <v>118.71550000000001</v>
      </c>
      <c r="E20">
        <v>2.4242400000000002</v>
      </c>
      <c r="I20" t="s">
        <v>83</v>
      </c>
      <c r="J20">
        <v>5</v>
      </c>
      <c r="K20">
        <f t="shared" si="1"/>
        <v>1.428408181922066</v>
      </c>
      <c r="L20">
        <v>142.84082000000001</v>
      </c>
      <c r="M20">
        <v>2.9239799999999998</v>
      </c>
    </row>
    <row r="21" spans="1:13" x14ac:dyDescent="0.2">
      <c r="A21" t="s">
        <v>64</v>
      </c>
      <c r="B21">
        <v>4</v>
      </c>
      <c r="C21">
        <f t="shared" si="0"/>
        <v>11.785503830288745</v>
      </c>
      <c r="D21">
        <v>118.71550000000001</v>
      </c>
      <c r="E21">
        <v>2.4242400000000002</v>
      </c>
      <c r="I21" t="s">
        <v>78</v>
      </c>
      <c r="J21">
        <v>4</v>
      </c>
      <c r="K21">
        <f t="shared" si="1"/>
        <v>1.1427265455376527</v>
      </c>
      <c r="L21">
        <v>114.27265</v>
      </c>
      <c r="M21">
        <v>2.3391799999999998</v>
      </c>
    </row>
    <row r="22" spans="1:13" x14ac:dyDescent="0.2">
      <c r="A22" t="s">
        <v>65</v>
      </c>
      <c r="B22">
        <v>4</v>
      </c>
      <c r="C22">
        <f t="shared" si="0"/>
        <v>11.785503830288745</v>
      </c>
      <c r="D22">
        <v>118.71550000000001</v>
      </c>
      <c r="E22">
        <v>2.4242400000000002</v>
      </c>
      <c r="I22" t="s">
        <v>72</v>
      </c>
      <c r="J22">
        <v>4</v>
      </c>
      <c r="K22">
        <f t="shared" si="1"/>
        <v>1.1427265455376527</v>
      </c>
      <c r="L22">
        <v>114.27265</v>
      </c>
      <c r="M22">
        <v>2.3391799999999998</v>
      </c>
    </row>
    <row r="23" spans="1:13" x14ac:dyDescent="0.2">
      <c r="A23" t="s">
        <v>66</v>
      </c>
      <c r="B23">
        <v>4</v>
      </c>
      <c r="C23">
        <f>(B23/3394)*10000</f>
        <v>11.785503830288745</v>
      </c>
      <c r="D23">
        <v>118.71550000000001</v>
      </c>
      <c r="E23">
        <v>2.4242400000000002</v>
      </c>
      <c r="I23" t="s">
        <v>84</v>
      </c>
      <c r="J23">
        <v>4</v>
      </c>
      <c r="K23">
        <f t="shared" si="1"/>
        <v>1.1427265455376527</v>
      </c>
      <c r="L23">
        <v>114.27265</v>
      </c>
      <c r="M23">
        <v>2.3391799999999998</v>
      </c>
    </row>
    <row r="24" spans="1:13" x14ac:dyDescent="0.2">
      <c r="A24" t="s">
        <v>67</v>
      </c>
      <c r="B24">
        <v>3</v>
      </c>
      <c r="C24">
        <f t="shared" si="0"/>
        <v>8.8391278727165581</v>
      </c>
      <c r="D24">
        <v>89.036619999999999</v>
      </c>
      <c r="E24">
        <v>1.8181799999999999</v>
      </c>
      <c r="I24" t="s">
        <v>55</v>
      </c>
      <c r="J24">
        <v>4</v>
      </c>
      <c r="K24">
        <f t="shared" si="1"/>
        <v>1.1427265455376527</v>
      </c>
      <c r="L24">
        <v>114.27265</v>
      </c>
      <c r="M24">
        <v>2.3391799999999998</v>
      </c>
    </row>
    <row r="25" spans="1:13" x14ac:dyDescent="0.2">
      <c r="A25" t="s">
        <v>68</v>
      </c>
      <c r="B25">
        <v>3</v>
      </c>
      <c r="C25">
        <f t="shared" si="0"/>
        <v>8.8391278727165581</v>
      </c>
      <c r="D25">
        <v>89.036619999999999</v>
      </c>
      <c r="E25">
        <v>1.8181799999999999</v>
      </c>
      <c r="I25" t="s">
        <v>73</v>
      </c>
      <c r="J25">
        <v>3</v>
      </c>
      <c r="K25">
        <f t="shared" si="1"/>
        <v>0.85704490915323972</v>
      </c>
      <c r="L25">
        <v>85.704490000000007</v>
      </c>
      <c r="M25">
        <v>1.7543899999999999</v>
      </c>
    </row>
    <row r="26" spans="1:13" x14ac:dyDescent="0.2">
      <c r="A26" t="s">
        <v>69</v>
      </c>
      <c r="B26">
        <v>2</v>
      </c>
      <c r="C26">
        <f t="shared" si="0"/>
        <v>5.8927519151443724</v>
      </c>
      <c r="D26">
        <v>59.357750000000003</v>
      </c>
      <c r="E26">
        <v>1.2121200000000001</v>
      </c>
      <c r="I26" t="s">
        <v>59</v>
      </c>
      <c r="J26">
        <v>3</v>
      </c>
      <c r="K26">
        <f t="shared" si="1"/>
        <v>0.85704490915323972</v>
      </c>
      <c r="L26">
        <v>85.704490000000007</v>
      </c>
      <c r="M26">
        <v>1.7543899999999999</v>
      </c>
    </row>
    <row r="27" spans="1:13" x14ac:dyDescent="0.2">
      <c r="A27" t="s">
        <v>70</v>
      </c>
      <c r="B27">
        <v>2</v>
      </c>
      <c r="C27">
        <f t="shared" si="0"/>
        <v>5.8927519151443724</v>
      </c>
      <c r="D27">
        <v>59.357750000000003</v>
      </c>
      <c r="E27">
        <v>1.2121200000000001</v>
      </c>
      <c r="I27" t="s">
        <v>61</v>
      </c>
      <c r="J27">
        <v>2</v>
      </c>
      <c r="K27">
        <f t="shared" si="1"/>
        <v>0.57136327276882637</v>
      </c>
      <c r="L27">
        <v>57.136330000000001</v>
      </c>
      <c r="M27">
        <v>1.1695899999999999</v>
      </c>
    </row>
    <row r="28" spans="1:13" x14ac:dyDescent="0.2">
      <c r="A28" t="s">
        <v>71</v>
      </c>
      <c r="B28">
        <v>2</v>
      </c>
      <c r="C28">
        <f t="shared" si="0"/>
        <v>5.8927519151443724</v>
      </c>
      <c r="D28">
        <v>59.357750000000003</v>
      </c>
      <c r="E28">
        <v>1.2121200000000001</v>
      </c>
      <c r="I28" t="s">
        <v>60</v>
      </c>
      <c r="J28">
        <v>2</v>
      </c>
      <c r="K28">
        <f t="shared" si="1"/>
        <v>0.57136327276882637</v>
      </c>
      <c r="L28">
        <v>57.136330000000001</v>
      </c>
      <c r="M28">
        <v>1.1695899999999999</v>
      </c>
    </row>
    <row r="29" spans="1:13" x14ac:dyDescent="0.2">
      <c r="A29" t="s">
        <v>72</v>
      </c>
      <c r="B29">
        <v>2</v>
      </c>
      <c r="C29">
        <f t="shared" si="0"/>
        <v>5.8927519151443724</v>
      </c>
      <c r="D29">
        <v>59.357750000000003</v>
      </c>
      <c r="E29">
        <v>1.2121200000000001</v>
      </c>
      <c r="I29" t="s">
        <v>76</v>
      </c>
      <c r="J29">
        <v>1</v>
      </c>
      <c r="K29">
        <f t="shared" si="1"/>
        <v>0.28568163638441318</v>
      </c>
      <c r="L29">
        <v>28.568159999999999</v>
      </c>
      <c r="M29">
        <v>0.58479999999999999</v>
      </c>
    </row>
    <row r="30" spans="1:13" x14ac:dyDescent="0.2">
      <c r="A30" t="s">
        <v>73</v>
      </c>
      <c r="B30">
        <v>2</v>
      </c>
      <c r="C30">
        <f t="shared" si="0"/>
        <v>5.8927519151443724</v>
      </c>
      <c r="D30">
        <v>59.357750000000003</v>
      </c>
      <c r="E30">
        <v>1.2121200000000001</v>
      </c>
      <c r="I30" t="s">
        <v>63</v>
      </c>
      <c r="J30">
        <v>1</v>
      </c>
      <c r="K30">
        <f>(J30/35004)*10000</f>
        <v>0.28568163638441318</v>
      </c>
      <c r="L30">
        <v>28.568159999999999</v>
      </c>
      <c r="M30">
        <v>0.58479999999999999</v>
      </c>
    </row>
    <row r="31" spans="1:13" x14ac:dyDescent="0.2">
      <c r="A31" t="s">
        <v>74</v>
      </c>
      <c r="B31">
        <v>2</v>
      </c>
      <c r="C31">
        <f t="shared" si="0"/>
        <v>5.8927519151443724</v>
      </c>
      <c r="D31">
        <v>59.357750000000003</v>
      </c>
      <c r="E31">
        <v>1.2121200000000001</v>
      </c>
      <c r="I31" t="s">
        <v>85</v>
      </c>
      <c r="J31">
        <v>1</v>
      </c>
      <c r="K31">
        <f t="shared" si="1"/>
        <v>0.28568163638441318</v>
      </c>
      <c r="L31">
        <v>28.568159999999999</v>
      </c>
      <c r="M31">
        <v>0.58479999999999999</v>
      </c>
    </row>
    <row r="32" spans="1:13" x14ac:dyDescent="0.2">
      <c r="A32" t="s">
        <v>75</v>
      </c>
      <c r="B32">
        <v>2</v>
      </c>
      <c r="C32">
        <f t="shared" si="0"/>
        <v>5.8927519151443724</v>
      </c>
      <c r="D32">
        <v>59.357750000000003</v>
      </c>
      <c r="E32">
        <v>1.2121200000000001</v>
      </c>
      <c r="I32" t="s">
        <v>71</v>
      </c>
      <c r="J32">
        <v>1</v>
      </c>
      <c r="K32">
        <f t="shared" si="1"/>
        <v>0.28568163638441318</v>
      </c>
      <c r="L32">
        <v>28.568159999999999</v>
      </c>
      <c r="M32">
        <v>0.58479999999999999</v>
      </c>
    </row>
    <row r="33" spans="1:13" x14ac:dyDescent="0.2">
      <c r="A33" t="s">
        <v>76</v>
      </c>
      <c r="B33">
        <v>1</v>
      </c>
      <c r="C33">
        <f t="shared" si="0"/>
        <v>2.9463759575721862</v>
      </c>
      <c r="D33">
        <v>29.67887</v>
      </c>
      <c r="E33">
        <v>0.60606000000000004</v>
      </c>
      <c r="I33" t="s">
        <v>86</v>
      </c>
      <c r="J33">
        <v>1</v>
      </c>
      <c r="K33">
        <f t="shared" si="1"/>
        <v>0.28568163638441318</v>
      </c>
      <c r="L33">
        <v>28.568159999999999</v>
      </c>
      <c r="M33">
        <v>0.58479999999999999</v>
      </c>
    </row>
    <row r="34" spans="1:13" x14ac:dyDescent="0.2">
      <c r="A34" t="s">
        <v>77</v>
      </c>
      <c r="B34">
        <v>1</v>
      </c>
      <c r="C34">
        <f t="shared" si="0"/>
        <v>2.9463759575721862</v>
      </c>
      <c r="D34">
        <v>29.67887</v>
      </c>
      <c r="E34">
        <v>0.60606000000000004</v>
      </c>
      <c r="I34" t="s">
        <v>65</v>
      </c>
      <c r="J34">
        <v>1</v>
      </c>
      <c r="K34">
        <f t="shared" si="1"/>
        <v>0.28568163638441318</v>
      </c>
      <c r="L34">
        <v>28.568159999999999</v>
      </c>
      <c r="M34">
        <v>0.58479999999999999</v>
      </c>
    </row>
    <row r="35" spans="1:13" x14ac:dyDescent="0.2">
      <c r="A35" t="s">
        <v>78</v>
      </c>
      <c r="B35">
        <v>1</v>
      </c>
      <c r="C35">
        <f t="shared" si="0"/>
        <v>2.9463759575721862</v>
      </c>
      <c r="D35">
        <v>29.67887</v>
      </c>
      <c r="E35">
        <v>0.60606000000000004</v>
      </c>
      <c r="I35" t="s">
        <v>64</v>
      </c>
      <c r="J35">
        <v>1</v>
      </c>
      <c r="K35">
        <f t="shared" si="1"/>
        <v>0.28568163638441318</v>
      </c>
      <c r="L35">
        <v>28.568159999999999</v>
      </c>
      <c r="M35">
        <v>0.58479999999999999</v>
      </c>
    </row>
    <row r="36" spans="1:13" x14ac:dyDescent="0.2">
      <c r="I36" t="s">
        <v>57</v>
      </c>
      <c r="J36">
        <v>1</v>
      </c>
      <c r="K36">
        <f t="shared" si="1"/>
        <v>0.28568163638441318</v>
      </c>
      <c r="L36">
        <v>28.568159999999999</v>
      </c>
      <c r="M36">
        <v>0.58479999999999999</v>
      </c>
    </row>
    <row r="37" spans="1:13" x14ac:dyDescent="0.2">
      <c r="B37" s="31">
        <f>SUM(B7:B35)</f>
        <v>165</v>
      </c>
      <c r="C37" s="33"/>
      <c r="I37" t="s">
        <v>87</v>
      </c>
      <c r="J37">
        <v>1</v>
      </c>
      <c r="K37">
        <f t="shared" si="1"/>
        <v>0.28568163638441318</v>
      </c>
      <c r="L37">
        <v>28.568159999999999</v>
      </c>
      <c r="M37">
        <v>0.58479999999999999</v>
      </c>
    </row>
    <row r="38" spans="1:13" x14ac:dyDescent="0.2">
      <c r="B38" t="s">
        <v>185</v>
      </c>
      <c r="I38" t="s">
        <v>66</v>
      </c>
      <c r="J38">
        <v>1</v>
      </c>
      <c r="K38">
        <f t="shared" si="1"/>
        <v>0.28568163638441318</v>
      </c>
      <c r="L38">
        <v>28.568159999999999</v>
      </c>
      <c r="M38">
        <v>0.58479999999999999</v>
      </c>
    </row>
    <row r="39" spans="1:13" x14ac:dyDescent="0.2">
      <c r="B39">
        <f>(165/33694)*10000</f>
        <v>48.970143052175466</v>
      </c>
      <c r="I39" t="s">
        <v>56</v>
      </c>
      <c r="J39">
        <v>1</v>
      </c>
      <c r="K39">
        <f t="shared" si="1"/>
        <v>0.28568163638441318</v>
      </c>
      <c r="L39">
        <v>28.568159999999999</v>
      </c>
      <c r="M39">
        <v>0.58479999999999999</v>
      </c>
    </row>
    <row r="40" spans="1:13" x14ac:dyDescent="0.2">
      <c r="I40" t="s">
        <v>68</v>
      </c>
      <c r="J40">
        <v>1</v>
      </c>
      <c r="K40">
        <f t="shared" si="1"/>
        <v>0.28568163638441318</v>
      </c>
      <c r="L40">
        <v>28.568159999999999</v>
      </c>
      <c r="M40">
        <v>0.58479999999999999</v>
      </c>
    </row>
    <row r="42" spans="1:13" x14ac:dyDescent="0.2">
      <c r="J42" s="31">
        <f>SUM(J7:J40)</f>
        <v>171</v>
      </c>
      <c r="K42" s="33"/>
    </row>
    <row r="43" spans="1:13" x14ac:dyDescent="0.2">
      <c r="J43" t="s">
        <v>185</v>
      </c>
    </row>
    <row r="44" spans="1:13" x14ac:dyDescent="0.2">
      <c r="J44">
        <f>(171/35004)*10000</f>
        <v>48.851559821734661</v>
      </c>
    </row>
  </sheetData>
  <mergeCells count="2">
    <mergeCell ref="A5:F5"/>
    <mergeCell ref="I5:M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018D7-7AB8-6F41-A828-F17D4B766354}">
  <dimension ref="A1:L84"/>
  <sheetViews>
    <sheetView topLeftCell="E71" zoomScaleNormal="80" zoomScaleSheetLayoutView="100" workbookViewId="0">
      <selection activeCell="I84" sqref="I84"/>
    </sheetView>
  </sheetViews>
  <sheetFormatPr defaultRowHeight="15" x14ac:dyDescent="0.2"/>
  <cols>
    <col min="2" max="2" width="10.4921875" bestFit="1" customWidth="1"/>
    <col min="3" max="3" width="10.35546875" customWidth="1"/>
    <col min="4" max="4" width="10.625" bestFit="1" customWidth="1"/>
    <col min="9" max="9" width="10.4921875" bestFit="1" customWidth="1"/>
    <col min="10" max="10" width="11.8359375" bestFit="1" customWidth="1"/>
    <col min="11" max="11" width="10.625" bestFit="1" customWidth="1"/>
  </cols>
  <sheetData>
    <row r="1" spans="1:12" x14ac:dyDescent="0.2">
      <c r="A1" t="s">
        <v>0</v>
      </c>
      <c r="H1" t="s">
        <v>0</v>
      </c>
    </row>
    <row r="2" spans="1:12" x14ac:dyDescent="0.2">
      <c r="A2" t="s">
        <v>1</v>
      </c>
      <c r="H2" t="s">
        <v>1</v>
      </c>
    </row>
    <row r="3" spans="1:12" x14ac:dyDescent="0.2">
      <c r="A3" s="22" t="s">
        <v>2</v>
      </c>
      <c r="H3" s="22" t="s">
        <v>44</v>
      </c>
    </row>
    <row r="4" spans="1:12" x14ac:dyDescent="0.2">
      <c r="A4" t="s">
        <v>88</v>
      </c>
      <c r="H4" t="s">
        <v>162</v>
      </c>
    </row>
    <row r="5" spans="1:12" x14ac:dyDescent="0.2">
      <c r="A5" s="47" t="s">
        <v>89</v>
      </c>
      <c r="B5" s="47"/>
      <c r="C5" s="47"/>
      <c r="D5" s="47"/>
      <c r="E5" s="47"/>
      <c r="H5" s="47" t="s">
        <v>89</v>
      </c>
      <c r="I5" s="47"/>
      <c r="J5" s="47"/>
      <c r="K5" s="47"/>
      <c r="L5" s="47"/>
    </row>
    <row r="6" spans="1:12" x14ac:dyDescent="0.2">
      <c r="A6" t="s">
        <v>5</v>
      </c>
      <c r="B6" t="s">
        <v>6</v>
      </c>
      <c r="C6" t="s">
        <v>179</v>
      </c>
      <c r="D6" t="s">
        <v>7</v>
      </c>
      <c r="E6" t="s">
        <v>8</v>
      </c>
      <c r="H6" t="s">
        <v>5</v>
      </c>
      <c r="I6" t="s">
        <v>6</v>
      </c>
      <c r="J6" t="s">
        <v>179</v>
      </c>
      <c r="K6" t="s">
        <v>7</v>
      </c>
      <c r="L6" t="s">
        <v>8</v>
      </c>
    </row>
    <row r="7" spans="1:12" x14ac:dyDescent="0.2">
      <c r="A7" t="s">
        <v>90</v>
      </c>
      <c r="B7">
        <v>94</v>
      </c>
      <c r="C7">
        <f>(B7/33694)*10000</f>
        <v>27.898142102451477</v>
      </c>
      <c r="D7">
        <v>2789.81421</v>
      </c>
      <c r="E7">
        <v>20.43478</v>
      </c>
      <c r="H7" t="s">
        <v>90</v>
      </c>
      <c r="I7">
        <v>68</v>
      </c>
      <c r="J7">
        <f>(I7/35004)*10000</f>
        <v>19.426351274140096</v>
      </c>
      <c r="K7">
        <v>1942.6351299999999</v>
      </c>
      <c r="L7">
        <v>11.37124</v>
      </c>
    </row>
    <row r="8" spans="1:12" x14ac:dyDescent="0.2">
      <c r="A8" t="s">
        <v>91</v>
      </c>
      <c r="B8">
        <v>20</v>
      </c>
      <c r="C8">
        <f t="shared" ref="C8:C71" si="0">(B8/33694)*10000</f>
        <v>5.935774915415208</v>
      </c>
      <c r="D8">
        <v>593.57749000000001</v>
      </c>
      <c r="E8">
        <v>4.3478300000000001</v>
      </c>
      <c r="H8" t="s">
        <v>95</v>
      </c>
      <c r="I8">
        <v>35</v>
      </c>
      <c r="J8">
        <f t="shared" ref="J8:J71" si="1">(I8/35004)*10000</f>
        <v>9.9988572734544636</v>
      </c>
      <c r="K8">
        <v>999.88572999999997</v>
      </c>
      <c r="L8">
        <v>5.8528399999999996</v>
      </c>
    </row>
    <row r="9" spans="1:12" x14ac:dyDescent="0.2">
      <c r="A9" t="s">
        <v>92</v>
      </c>
      <c r="B9">
        <v>16</v>
      </c>
      <c r="C9">
        <f t="shared" si="0"/>
        <v>4.7486199323321658</v>
      </c>
      <c r="D9">
        <v>474.86198999999999</v>
      </c>
      <c r="E9">
        <v>3.4782600000000001</v>
      </c>
      <c r="H9" t="s">
        <v>101</v>
      </c>
      <c r="I9">
        <v>27</v>
      </c>
      <c r="J9">
        <f t="shared" si="1"/>
        <v>7.7134041823791568</v>
      </c>
      <c r="K9">
        <v>771.34041999999999</v>
      </c>
      <c r="L9">
        <v>4.5150499999999996</v>
      </c>
    </row>
    <row r="10" spans="1:12" x14ac:dyDescent="0.2">
      <c r="A10" t="s">
        <v>93</v>
      </c>
      <c r="B10">
        <v>15</v>
      </c>
      <c r="C10">
        <f t="shared" si="0"/>
        <v>4.4518311865614058</v>
      </c>
      <c r="D10">
        <v>445.18311999999997</v>
      </c>
      <c r="E10">
        <v>3.2608700000000002</v>
      </c>
      <c r="H10" t="s">
        <v>105</v>
      </c>
      <c r="I10">
        <v>24</v>
      </c>
      <c r="J10">
        <f t="shared" si="1"/>
        <v>6.8563592732259178</v>
      </c>
      <c r="K10">
        <v>685.63593000000003</v>
      </c>
      <c r="L10">
        <v>4.0133799999999997</v>
      </c>
    </row>
    <row r="11" spans="1:12" x14ac:dyDescent="0.2">
      <c r="A11" t="s">
        <v>94</v>
      </c>
      <c r="B11">
        <v>14</v>
      </c>
      <c r="C11">
        <f t="shared" si="0"/>
        <v>4.1550424407906457</v>
      </c>
      <c r="D11">
        <v>415.50423999999998</v>
      </c>
      <c r="E11">
        <v>3.0434800000000002</v>
      </c>
      <c r="H11" t="s">
        <v>97</v>
      </c>
      <c r="I11">
        <v>20</v>
      </c>
      <c r="J11">
        <f t="shared" si="1"/>
        <v>5.7136327276882639</v>
      </c>
      <c r="K11">
        <v>571.36327000000006</v>
      </c>
      <c r="L11">
        <v>3.3444799999999999</v>
      </c>
    </row>
    <row r="12" spans="1:12" x14ac:dyDescent="0.2">
      <c r="A12" t="s">
        <v>95</v>
      </c>
      <c r="B12">
        <v>13</v>
      </c>
      <c r="C12">
        <f t="shared" si="0"/>
        <v>3.8582536950198847</v>
      </c>
      <c r="D12">
        <v>385.82537000000002</v>
      </c>
      <c r="E12">
        <v>2.8260900000000002</v>
      </c>
      <c r="H12" t="s">
        <v>119</v>
      </c>
      <c r="I12">
        <v>17</v>
      </c>
      <c r="J12">
        <f t="shared" si="1"/>
        <v>4.856587818535024</v>
      </c>
      <c r="K12">
        <v>485.65877999999998</v>
      </c>
      <c r="L12">
        <v>2.8428100000000001</v>
      </c>
    </row>
    <row r="13" spans="1:12" x14ac:dyDescent="0.2">
      <c r="A13" t="s">
        <v>96</v>
      </c>
      <c r="B13">
        <v>12</v>
      </c>
      <c r="C13">
        <f t="shared" si="0"/>
        <v>3.5614649492491246</v>
      </c>
      <c r="D13">
        <v>356.14648999999997</v>
      </c>
      <c r="E13">
        <v>2.6086999999999998</v>
      </c>
      <c r="H13" t="s">
        <v>91</v>
      </c>
      <c r="I13">
        <v>17</v>
      </c>
      <c r="J13">
        <f t="shared" si="1"/>
        <v>4.856587818535024</v>
      </c>
      <c r="K13">
        <v>485.65877999999998</v>
      </c>
      <c r="L13">
        <v>2.8428100000000001</v>
      </c>
    </row>
    <row r="14" spans="1:12" x14ac:dyDescent="0.2">
      <c r="A14" t="s">
        <v>97</v>
      </c>
      <c r="B14">
        <v>12</v>
      </c>
      <c r="C14">
        <f t="shared" si="0"/>
        <v>3.5614649492491246</v>
      </c>
      <c r="D14">
        <v>356.14648999999997</v>
      </c>
      <c r="E14">
        <v>2.6086999999999998</v>
      </c>
      <c r="H14" t="s">
        <v>142</v>
      </c>
      <c r="I14">
        <v>16</v>
      </c>
      <c r="J14">
        <f t="shared" si="1"/>
        <v>4.570906182150611</v>
      </c>
      <c r="K14">
        <v>457.09062</v>
      </c>
      <c r="L14">
        <v>2.6755900000000001</v>
      </c>
    </row>
    <row r="15" spans="1:12" x14ac:dyDescent="0.2">
      <c r="A15" t="s">
        <v>98</v>
      </c>
      <c r="B15">
        <v>11</v>
      </c>
      <c r="C15">
        <f t="shared" si="0"/>
        <v>3.2646762034783641</v>
      </c>
      <c r="D15">
        <v>326.46762000000001</v>
      </c>
      <c r="E15">
        <v>2.3913000000000002</v>
      </c>
      <c r="H15" t="s">
        <v>152</v>
      </c>
      <c r="I15">
        <v>16</v>
      </c>
      <c r="J15">
        <f t="shared" si="1"/>
        <v>4.570906182150611</v>
      </c>
      <c r="K15">
        <v>457.09062</v>
      </c>
      <c r="L15">
        <v>2.6755900000000001</v>
      </c>
    </row>
    <row r="16" spans="1:12" x14ac:dyDescent="0.2">
      <c r="A16" t="s">
        <v>99</v>
      </c>
      <c r="B16">
        <v>11</v>
      </c>
      <c r="C16">
        <f t="shared" si="0"/>
        <v>3.2646762034783641</v>
      </c>
      <c r="D16">
        <v>326.46762000000001</v>
      </c>
      <c r="E16">
        <v>2.3913000000000002</v>
      </c>
      <c r="H16" t="s">
        <v>156</v>
      </c>
      <c r="I16">
        <v>15</v>
      </c>
      <c r="J16">
        <f t="shared" si="1"/>
        <v>4.2852245457661979</v>
      </c>
      <c r="K16">
        <v>428.52244999999999</v>
      </c>
      <c r="L16">
        <v>2.5083600000000001</v>
      </c>
    </row>
    <row r="17" spans="1:12" x14ac:dyDescent="0.2">
      <c r="A17" t="s">
        <v>100</v>
      </c>
      <c r="B17">
        <v>9</v>
      </c>
      <c r="C17">
        <f t="shared" si="0"/>
        <v>2.6710987119368435</v>
      </c>
      <c r="D17">
        <v>267.10987</v>
      </c>
      <c r="E17">
        <v>1.95652</v>
      </c>
      <c r="H17" t="s">
        <v>98</v>
      </c>
      <c r="I17">
        <v>15</v>
      </c>
      <c r="J17">
        <f t="shared" si="1"/>
        <v>4.2852245457661979</v>
      </c>
      <c r="K17">
        <v>428.52244999999999</v>
      </c>
      <c r="L17">
        <v>2.5083600000000001</v>
      </c>
    </row>
    <row r="18" spans="1:12" x14ac:dyDescent="0.2">
      <c r="A18" t="s">
        <v>101</v>
      </c>
      <c r="B18">
        <v>8</v>
      </c>
      <c r="C18">
        <f t="shared" si="0"/>
        <v>2.3743099661660829</v>
      </c>
      <c r="D18">
        <v>237.43100000000001</v>
      </c>
      <c r="E18">
        <v>1.7391300000000001</v>
      </c>
      <c r="H18" t="s">
        <v>163</v>
      </c>
      <c r="I18">
        <v>15</v>
      </c>
      <c r="J18">
        <f t="shared" si="1"/>
        <v>4.2852245457661979</v>
      </c>
      <c r="K18">
        <v>428.52244999999999</v>
      </c>
      <c r="L18">
        <v>2.5083600000000001</v>
      </c>
    </row>
    <row r="19" spans="1:12" x14ac:dyDescent="0.2">
      <c r="A19" t="s">
        <v>102</v>
      </c>
      <c r="B19">
        <v>8</v>
      </c>
      <c r="C19">
        <f t="shared" si="0"/>
        <v>2.3743099661660829</v>
      </c>
      <c r="D19">
        <v>237.43100000000001</v>
      </c>
      <c r="E19">
        <v>1.7391300000000001</v>
      </c>
      <c r="H19" t="s">
        <v>93</v>
      </c>
      <c r="I19">
        <v>14</v>
      </c>
      <c r="J19">
        <f t="shared" si="1"/>
        <v>3.9995429093817849</v>
      </c>
      <c r="K19">
        <v>399.95429000000001</v>
      </c>
      <c r="L19">
        <v>2.3411400000000002</v>
      </c>
    </row>
    <row r="20" spans="1:12" x14ac:dyDescent="0.2">
      <c r="A20" t="s">
        <v>103</v>
      </c>
      <c r="B20">
        <v>7</v>
      </c>
      <c r="C20">
        <f t="shared" si="0"/>
        <v>2.0775212203953228</v>
      </c>
      <c r="D20">
        <v>207.75211999999999</v>
      </c>
      <c r="E20">
        <v>1.5217400000000001</v>
      </c>
      <c r="H20" t="s">
        <v>128</v>
      </c>
      <c r="I20">
        <v>14</v>
      </c>
      <c r="J20">
        <f t="shared" si="1"/>
        <v>3.9995429093817849</v>
      </c>
      <c r="K20">
        <v>399.95429000000001</v>
      </c>
      <c r="L20">
        <v>2.3411400000000002</v>
      </c>
    </row>
    <row r="21" spans="1:12" x14ac:dyDescent="0.2">
      <c r="A21" t="s">
        <v>104</v>
      </c>
      <c r="B21">
        <v>7</v>
      </c>
      <c r="C21">
        <f t="shared" si="0"/>
        <v>2.0775212203953228</v>
      </c>
      <c r="D21">
        <v>207.75211999999999</v>
      </c>
      <c r="E21">
        <v>1.5217400000000001</v>
      </c>
      <c r="H21" t="s">
        <v>102</v>
      </c>
      <c r="I21">
        <v>13</v>
      </c>
      <c r="J21">
        <f t="shared" si="1"/>
        <v>3.7138612729973719</v>
      </c>
      <c r="K21">
        <v>371.38612999999998</v>
      </c>
      <c r="L21">
        <v>2.1739099999999998</v>
      </c>
    </row>
    <row r="22" spans="1:12" x14ac:dyDescent="0.2">
      <c r="A22" t="s">
        <v>105</v>
      </c>
      <c r="B22">
        <v>7</v>
      </c>
      <c r="C22">
        <f t="shared" si="0"/>
        <v>2.0775212203953228</v>
      </c>
      <c r="D22">
        <v>207.75211999999999</v>
      </c>
      <c r="E22">
        <v>1.5217400000000001</v>
      </c>
      <c r="H22" t="s">
        <v>110</v>
      </c>
      <c r="I22">
        <v>13</v>
      </c>
      <c r="J22">
        <f t="shared" si="1"/>
        <v>3.7138612729973719</v>
      </c>
      <c r="K22">
        <v>371.38612999999998</v>
      </c>
      <c r="L22">
        <v>2.1739099999999998</v>
      </c>
    </row>
    <row r="23" spans="1:12" x14ac:dyDescent="0.2">
      <c r="A23" t="s">
        <v>106</v>
      </c>
      <c r="B23">
        <v>7</v>
      </c>
      <c r="C23">
        <f t="shared" si="0"/>
        <v>2.0775212203953228</v>
      </c>
      <c r="D23">
        <v>207.75211999999999</v>
      </c>
      <c r="E23">
        <v>1.5217400000000001</v>
      </c>
      <c r="H23" t="s">
        <v>123</v>
      </c>
      <c r="I23">
        <v>11</v>
      </c>
      <c r="J23">
        <f t="shared" si="1"/>
        <v>3.1424980002285454</v>
      </c>
      <c r="K23">
        <v>314.24979999999999</v>
      </c>
      <c r="L23">
        <v>1.8394600000000001</v>
      </c>
    </row>
    <row r="24" spans="1:12" x14ac:dyDescent="0.2">
      <c r="A24" t="s">
        <v>107</v>
      </c>
      <c r="B24">
        <v>7</v>
      </c>
      <c r="C24">
        <f t="shared" si="0"/>
        <v>2.0775212203953228</v>
      </c>
      <c r="D24">
        <v>207.75211999999999</v>
      </c>
      <c r="E24">
        <v>1.5217400000000001</v>
      </c>
      <c r="H24" t="s">
        <v>96</v>
      </c>
      <c r="I24">
        <v>10</v>
      </c>
      <c r="J24">
        <f t="shared" si="1"/>
        <v>2.856816363844132</v>
      </c>
      <c r="K24">
        <v>285.68164000000002</v>
      </c>
      <c r="L24">
        <v>1.6722399999999999</v>
      </c>
    </row>
    <row r="25" spans="1:12" x14ac:dyDescent="0.2">
      <c r="A25" t="s">
        <v>108</v>
      </c>
      <c r="B25">
        <v>7</v>
      </c>
      <c r="C25">
        <f t="shared" si="0"/>
        <v>2.0775212203953228</v>
      </c>
      <c r="D25">
        <v>207.75211999999999</v>
      </c>
      <c r="E25">
        <v>1.5217400000000001</v>
      </c>
      <c r="H25" t="s">
        <v>94</v>
      </c>
      <c r="I25">
        <v>10</v>
      </c>
      <c r="J25">
        <f t="shared" si="1"/>
        <v>2.856816363844132</v>
      </c>
      <c r="K25">
        <v>285.68164000000002</v>
      </c>
      <c r="L25">
        <v>1.6722399999999999</v>
      </c>
    </row>
    <row r="26" spans="1:12" x14ac:dyDescent="0.2">
      <c r="A26" t="s">
        <v>109</v>
      </c>
      <c r="B26">
        <v>7</v>
      </c>
      <c r="C26">
        <f t="shared" si="0"/>
        <v>2.0775212203953228</v>
      </c>
      <c r="D26">
        <v>207.75211999999999</v>
      </c>
      <c r="E26">
        <v>1.5217400000000001</v>
      </c>
      <c r="H26" t="s">
        <v>141</v>
      </c>
      <c r="I26">
        <v>9</v>
      </c>
      <c r="J26">
        <f t="shared" si="1"/>
        <v>2.5711347274597189</v>
      </c>
      <c r="K26">
        <v>257.11347000000001</v>
      </c>
      <c r="L26">
        <v>1.50502</v>
      </c>
    </row>
    <row r="27" spans="1:12" x14ac:dyDescent="0.2">
      <c r="A27" t="s">
        <v>110</v>
      </c>
      <c r="B27">
        <v>6</v>
      </c>
      <c r="C27">
        <f t="shared" si="0"/>
        <v>1.7807324746245623</v>
      </c>
      <c r="D27">
        <v>178.07325</v>
      </c>
      <c r="E27">
        <v>1.3043499999999999</v>
      </c>
      <c r="H27" t="s">
        <v>124</v>
      </c>
      <c r="I27">
        <v>9</v>
      </c>
      <c r="J27">
        <f t="shared" si="1"/>
        <v>2.5711347274597189</v>
      </c>
      <c r="K27">
        <v>257.11347000000001</v>
      </c>
      <c r="L27">
        <v>1.50502</v>
      </c>
    </row>
    <row r="28" spans="1:12" x14ac:dyDescent="0.2">
      <c r="A28" t="s">
        <v>111</v>
      </c>
      <c r="B28">
        <v>6</v>
      </c>
      <c r="C28">
        <f t="shared" si="0"/>
        <v>1.7807324746245623</v>
      </c>
      <c r="D28">
        <v>178.07325</v>
      </c>
      <c r="E28">
        <v>1.3043499999999999</v>
      </c>
      <c r="H28" t="s">
        <v>164</v>
      </c>
      <c r="I28">
        <v>9</v>
      </c>
      <c r="J28">
        <f t="shared" si="1"/>
        <v>2.5711347274597189</v>
      </c>
      <c r="K28">
        <v>257.11347000000001</v>
      </c>
      <c r="L28">
        <v>1.50502</v>
      </c>
    </row>
    <row r="29" spans="1:12" x14ac:dyDescent="0.2">
      <c r="A29" t="s">
        <v>112</v>
      </c>
      <c r="B29">
        <v>6</v>
      </c>
      <c r="C29">
        <f t="shared" si="0"/>
        <v>1.7807324746245623</v>
      </c>
      <c r="D29">
        <v>178.07325</v>
      </c>
      <c r="E29">
        <v>1.3043499999999999</v>
      </c>
      <c r="H29" t="s">
        <v>108</v>
      </c>
      <c r="I29">
        <v>9</v>
      </c>
      <c r="J29">
        <f t="shared" si="1"/>
        <v>2.5711347274597189</v>
      </c>
      <c r="K29">
        <v>257.11347000000001</v>
      </c>
      <c r="L29">
        <v>1.50502</v>
      </c>
    </row>
    <row r="30" spans="1:12" x14ac:dyDescent="0.2">
      <c r="A30" t="s">
        <v>113</v>
      </c>
      <c r="B30">
        <v>6</v>
      </c>
      <c r="C30">
        <f t="shared" si="0"/>
        <v>1.7807324746245623</v>
      </c>
      <c r="D30">
        <v>178.07325</v>
      </c>
      <c r="E30">
        <v>1.3043499999999999</v>
      </c>
      <c r="H30" t="s">
        <v>112</v>
      </c>
      <c r="I30">
        <v>9</v>
      </c>
      <c r="J30">
        <f t="shared" si="1"/>
        <v>2.5711347274597189</v>
      </c>
      <c r="K30">
        <v>257.11347000000001</v>
      </c>
      <c r="L30">
        <v>1.50502</v>
      </c>
    </row>
    <row r="31" spans="1:12" x14ac:dyDescent="0.2">
      <c r="A31" t="s">
        <v>114</v>
      </c>
      <c r="B31">
        <v>6</v>
      </c>
      <c r="C31">
        <f t="shared" si="0"/>
        <v>1.7807324746245623</v>
      </c>
      <c r="D31">
        <v>178.07325</v>
      </c>
      <c r="E31">
        <v>1.3043499999999999</v>
      </c>
      <c r="H31" t="s">
        <v>158</v>
      </c>
      <c r="I31">
        <v>8</v>
      </c>
      <c r="J31">
        <f t="shared" si="1"/>
        <v>2.2854530910753055</v>
      </c>
      <c r="K31">
        <v>228.54531</v>
      </c>
      <c r="L31">
        <v>1.33779</v>
      </c>
    </row>
    <row r="32" spans="1:12" x14ac:dyDescent="0.2">
      <c r="A32" t="s">
        <v>115</v>
      </c>
      <c r="B32">
        <v>5</v>
      </c>
      <c r="C32">
        <f t="shared" si="0"/>
        <v>1.483943728853802</v>
      </c>
      <c r="D32">
        <v>148.39437000000001</v>
      </c>
      <c r="E32">
        <v>1.0869599999999999</v>
      </c>
      <c r="H32" t="s">
        <v>99</v>
      </c>
      <c r="I32">
        <v>8</v>
      </c>
      <c r="J32">
        <f t="shared" si="1"/>
        <v>2.2854530910753055</v>
      </c>
      <c r="K32">
        <v>228.54531</v>
      </c>
      <c r="L32">
        <v>1.33779</v>
      </c>
    </row>
    <row r="33" spans="1:12" x14ac:dyDescent="0.2">
      <c r="A33" t="s">
        <v>116</v>
      </c>
      <c r="B33">
        <v>5</v>
      </c>
      <c r="C33">
        <f t="shared" si="0"/>
        <v>1.483943728853802</v>
      </c>
      <c r="D33">
        <v>148.39437000000001</v>
      </c>
      <c r="E33">
        <v>1.0869599999999999</v>
      </c>
      <c r="H33" t="s">
        <v>92</v>
      </c>
      <c r="I33">
        <v>7</v>
      </c>
      <c r="J33">
        <f t="shared" si="1"/>
        <v>1.9997714546908925</v>
      </c>
      <c r="K33">
        <v>199.97714999999999</v>
      </c>
      <c r="L33">
        <v>1.1705700000000001</v>
      </c>
    </row>
    <row r="34" spans="1:12" x14ac:dyDescent="0.2">
      <c r="A34" t="s">
        <v>117</v>
      </c>
      <c r="B34">
        <v>5</v>
      </c>
      <c r="C34">
        <f t="shared" si="0"/>
        <v>1.483943728853802</v>
      </c>
      <c r="D34">
        <v>148.39437000000001</v>
      </c>
      <c r="E34">
        <v>1.0869599999999999</v>
      </c>
      <c r="H34" t="s">
        <v>165</v>
      </c>
      <c r="I34">
        <v>7</v>
      </c>
      <c r="J34">
        <f t="shared" si="1"/>
        <v>1.9997714546908925</v>
      </c>
      <c r="K34">
        <v>199.97714999999999</v>
      </c>
      <c r="L34">
        <v>1.1705700000000001</v>
      </c>
    </row>
    <row r="35" spans="1:12" x14ac:dyDescent="0.2">
      <c r="A35" t="s">
        <v>118</v>
      </c>
      <c r="B35">
        <v>5</v>
      </c>
      <c r="C35">
        <f t="shared" si="0"/>
        <v>1.483943728853802</v>
      </c>
      <c r="D35">
        <v>148.39437000000001</v>
      </c>
      <c r="E35">
        <v>1.0869599999999999</v>
      </c>
      <c r="H35" t="s">
        <v>145</v>
      </c>
      <c r="I35">
        <v>6</v>
      </c>
      <c r="J35">
        <f t="shared" si="1"/>
        <v>1.7140898183064794</v>
      </c>
      <c r="K35">
        <v>171.40898000000001</v>
      </c>
      <c r="L35">
        <v>1.0033399999999999</v>
      </c>
    </row>
    <row r="36" spans="1:12" x14ac:dyDescent="0.2">
      <c r="A36" t="s">
        <v>119</v>
      </c>
      <c r="B36">
        <v>5</v>
      </c>
      <c r="C36">
        <f t="shared" si="0"/>
        <v>1.483943728853802</v>
      </c>
      <c r="D36">
        <v>148.39437000000001</v>
      </c>
      <c r="E36">
        <v>1.0869599999999999</v>
      </c>
      <c r="H36" t="s">
        <v>115</v>
      </c>
      <c r="I36">
        <v>6</v>
      </c>
      <c r="J36">
        <f t="shared" si="1"/>
        <v>1.7140898183064794</v>
      </c>
      <c r="K36">
        <v>171.40898000000001</v>
      </c>
      <c r="L36">
        <v>1.0033399999999999</v>
      </c>
    </row>
    <row r="37" spans="1:12" x14ac:dyDescent="0.2">
      <c r="A37" t="s">
        <v>120</v>
      </c>
      <c r="B37">
        <v>5</v>
      </c>
      <c r="C37">
        <f t="shared" si="0"/>
        <v>1.483943728853802</v>
      </c>
      <c r="D37">
        <v>148.39437000000001</v>
      </c>
      <c r="E37">
        <v>1.0869599999999999</v>
      </c>
      <c r="H37" t="s">
        <v>150</v>
      </c>
      <c r="I37">
        <v>6</v>
      </c>
      <c r="J37">
        <f t="shared" si="1"/>
        <v>1.7140898183064794</v>
      </c>
      <c r="K37">
        <v>171.40898000000001</v>
      </c>
      <c r="L37">
        <v>1.0033399999999999</v>
      </c>
    </row>
    <row r="38" spans="1:12" x14ac:dyDescent="0.2">
      <c r="A38" t="s">
        <v>121</v>
      </c>
      <c r="B38">
        <v>5</v>
      </c>
      <c r="C38">
        <f t="shared" si="0"/>
        <v>1.483943728853802</v>
      </c>
      <c r="D38">
        <v>148.39437000000001</v>
      </c>
      <c r="E38">
        <v>1.0869599999999999</v>
      </c>
      <c r="H38" t="s">
        <v>166</v>
      </c>
      <c r="I38">
        <v>5</v>
      </c>
      <c r="J38">
        <f t="shared" si="1"/>
        <v>1.428408181922066</v>
      </c>
      <c r="K38">
        <v>142.84082000000001</v>
      </c>
      <c r="L38">
        <v>0.83611999999999997</v>
      </c>
    </row>
    <row r="39" spans="1:12" x14ac:dyDescent="0.2">
      <c r="A39" t="s">
        <v>122</v>
      </c>
      <c r="B39">
        <v>5</v>
      </c>
      <c r="C39">
        <f t="shared" si="0"/>
        <v>1.483943728853802</v>
      </c>
      <c r="D39">
        <v>148.39437000000001</v>
      </c>
      <c r="E39">
        <v>1.0869599999999999</v>
      </c>
      <c r="H39" t="s">
        <v>167</v>
      </c>
      <c r="I39">
        <v>5</v>
      </c>
      <c r="J39">
        <f t="shared" si="1"/>
        <v>1.428408181922066</v>
      </c>
      <c r="K39">
        <v>142.84082000000001</v>
      </c>
      <c r="L39">
        <v>0.83611999999999997</v>
      </c>
    </row>
    <row r="40" spans="1:12" x14ac:dyDescent="0.2">
      <c r="A40" t="s">
        <v>123</v>
      </c>
      <c r="B40">
        <v>4</v>
      </c>
      <c r="C40">
        <f t="shared" si="0"/>
        <v>1.1871549830830415</v>
      </c>
      <c r="D40">
        <v>118.71550000000001</v>
      </c>
      <c r="E40">
        <v>0.86956999999999995</v>
      </c>
      <c r="H40" t="s">
        <v>107</v>
      </c>
      <c r="I40">
        <v>5</v>
      </c>
      <c r="J40">
        <f t="shared" si="1"/>
        <v>1.428408181922066</v>
      </c>
      <c r="K40">
        <v>142.84082000000001</v>
      </c>
      <c r="L40">
        <v>0.83611999999999997</v>
      </c>
    </row>
    <row r="41" spans="1:12" x14ac:dyDescent="0.2">
      <c r="A41" t="s">
        <v>124</v>
      </c>
      <c r="B41">
        <v>4</v>
      </c>
      <c r="C41">
        <f>(B41/33694)*10000</f>
        <v>1.1871549830830415</v>
      </c>
      <c r="D41">
        <v>118.71550000000001</v>
      </c>
      <c r="E41">
        <v>0.86956999999999995</v>
      </c>
      <c r="H41" t="s">
        <v>118</v>
      </c>
      <c r="I41">
        <v>5</v>
      </c>
      <c r="J41">
        <f>(I41/35004)*10000</f>
        <v>1.428408181922066</v>
      </c>
      <c r="K41">
        <v>142.84082000000001</v>
      </c>
      <c r="L41">
        <v>0.83611999999999997</v>
      </c>
    </row>
    <row r="42" spans="1:12" x14ac:dyDescent="0.2">
      <c r="A42" t="s">
        <v>125</v>
      </c>
      <c r="B42">
        <v>4</v>
      </c>
      <c r="C42">
        <f t="shared" si="0"/>
        <v>1.1871549830830415</v>
      </c>
      <c r="D42">
        <v>118.71550000000001</v>
      </c>
      <c r="E42">
        <v>0.86956999999999995</v>
      </c>
      <c r="H42" t="s">
        <v>111</v>
      </c>
      <c r="I42">
        <v>5</v>
      </c>
      <c r="J42">
        <f t="shared" si="1"/>
        <v>1.428408181922066</v>
      </c>
      <c r="K42">
        <v>142.84082000000001</v>
      </c>
      <c r="L42">
        <v>0.83611999999999997</v>
      </c>
    </row>
    <row r="43" spans="1:12" x14ac:dyDescent="0.2">
      <c r="A43" t="s">
        <v>126</v>
      </c>
      <c r="B43">
        <v>4</v>
      </c>
      <c r="C43">
        <f t="shared" si="0"/>
        <v>1.1871549830830415</v>
      </c>
      <c r="D43">
        <v>118.71550000000001</v>
      </c>
      <c r="E43">
        <v>0.86956999999999995</v>
      </c>
      <c r="H43" t="s">
        <v>129</v>
      </c>
      <c r="I43">
        <v>5</v>
      </c>
      <c r="J43">
        <f t="shared" si="1"/>
        <v>1.428408181922066</v>
      </c>
      <c r="K43">
        <v>142.84082000000001</v>
      </c>
      <c r="L43">
        <v>0.83611999999999997</v>
      </c>
    </row>
    <row r="44" spans="1:12" x14ac:dyDescent="0.2">
      <c r="A44" t="s">
        <v>127</v>
      </c>
      <c r="B44">
        <v>4</v>
      </c>
      <c r="C44">
        <f t="shared" si="0"/>
        <v>1.1871549830830415</v>
      </c>
      <c r="D44">
        <v>118.71550000000001</v>
      </c>
      <c r="E44">
        <v>0.86956999999999995</v>
      </c>
      <c r="H44" t="s">
        <v>168</v>
      </c>
      <c r="I44">
        <v>5</v>
      </c>
      <c r="J44">
        <f t="shared" si="1"/>
        <v>1.428408181922066</v>
      </c>
      <c r="K44">
        <v>142.84082000000001</v>
      </c>
      <c r="L44">
        <v>0.83611999999999997</v>
      </c>
    </row>
    <row r="45" spans="1:12" x14ac:dyDescent="0.2">
      <c r="A45" t="s">
        <v>128</v>
      </c>
      <c r="B45">
        <v>4</v>
      </c>
      <c r="C45">
        <f t="shared" si="0"/>
        <v>1.1871549830830415</v>
      </c>
      <c r="D45">
        <v>118.71550000000001</v>
      </c>
      <c r="E45">
        <v>0.86956999999999995</v>
      </c>
      <c r="H45" t="s">
        <v>169</v>
      </c>
      <c r="I45">
        <v>5</v>
      </c>
      <c r="J45">
        <f t="shared" si="1"/>
        <v>1.428408181922066</v>
      </c>
      <c r="K45">
        <v>142.84082000000001</v>
      </c>
      <c r="L45">
        <v>0.83611999999999997</v>
      </c>
    </row>
    <row r="46" spans="1:12" x14ac:dyDescent="0.2">
      <c r="A46" t="s">
        <v>129</v>
      </c>
      <c r="B46">
        <v>4</v>
      </c>
      <c r="C46">
        <f t="shared" si="0"/>
        <v>1.1871549830830415</v>
      </c>
      <c r="D46">
        <v>118.71550000000001</v>
      </c>
      <c r="E46">
        <v>0.86956999999999995</v>
      </c>
      <c r="H46" t="s">
        <v>144</v>
      </c>
      <c r="I46">
        <v>5</v>
      </c>
      <c r="J46">
        <f t="shared" si="1"/>
        <v>1.428408181922066</v>
      </c>
      <c r="K46">
        <v>142.84082000000001</v>
      </c>
      <c r="L46">
        <v>0.83611999999999997</v>
      </c>
    </row>
    <row r="47" spans="1:12" x14ac:dyDescent="0.2">
      <c r="A47" t="s">
        <v>130</v>
      </c>
      <c r="B47">
        <v>4</v>
      </c>
      <c r="C47">
        <f t="shared" si="0"/>
        <v>1.1871549830830415</v>
      </c>
      <c r="D47">
        <v>118.71550000000001</v>
      </c>
      <c r="E47">
        <v>0.86956999999999995</v>
      </c>
      <c r="H47" t="s">
        <v>103</v>
      </c>
      <c r="I47">
        <v>4</v>
      </c>
      <c r="J47">
        <f t="shared" si="1"/>
        <v>1.1427265455376527</v>
      </c>
      <c r="K47">
        <v>114.27265</v>
      </c>
      <c r="L47">
        <v>0.66890000000000005</v>
      </c>
    </row>
    <row r="48" spans="1:12" x14ac:dyDescent="0.2">
      <c r="A48" t="s">
        <v>131</v>
      </c>
      <c r="B48">
        <v>4</v>
      </c>
      <c r="C48">
        <f t="shared" si="0"/>
        <v>1.1871549830830415</v>
      </c>
      <c r="D48">
        <v>118.71550000000001</v>
      </c>
      <c r="E48">
        <v>0.86956999999999995</v>
      </c>
      <c r="H48" t="s">
        <v>135</v>
      </c>
      <c r="I48">
        <v>4</v>
      </c>
      <c r="J48">
        <f t="shared" si="1"/>
        <v>1.1427265455376527</v>
      </c>
      <c r="K48">
        <v>114.27265</v>
      </c>
      <c r="L48">
        <v>0.66890000000000005</v>
      </c>
    </row>
    <row r="49" spans="1:12" x14ac:dyDescent="0.2">
      <c r="A49" t="s">
        <v>132</v>
      </c>
      <c r="B49">
        <v>4</v>
      </c>
      <c r="C49">
        <f t="shared" si="0"/>
        <v>1.1871549830830415</v>
      </c>
      <c r="D49">
        <v>118.71550000000001</v>
      </c>
      <c r="E49">
        <v>0.86956999999999995</v>
      </c>
      <c r="H49" t="s">
        <v>157</v>
      </c>
      <c r="I49">
        <v>4</v>
      </c>
      <c r="J49">
        <f t="shared" si="1"/>
        <v>1.1427265455376527</v>
      </c>
      <c r="K49">
        <v>114.27265</v>
      </c>
      <c r="L49">
        <v>0.66890000000000005</v>
      </c>
    </row>
    <row r="50" spans="1:12" x14ac:dyDescent="0.2">
      <c r="A50" t="s">
        <v>133</v>
      </c>
      <c r="B50">
        <v>4</v>
      </c>
      <c r="C50">
        <f t="shared" si="0"/>
        <v>1.1871549830830415</v>
      </c>
      <c r="D50">
        <v>118.71550000000001</v>
      </c>
      <c r="E50">
        <v>0.86956999999999995</v>
      </c>
      <c r="H50" t="s">
        <v>161</v>
      </c>
      <c r="I50">
        <v>4</v>
      </c>
      <c r="J50">
        <f t="shared" si="1"/>
        <v>1.1427265455376527</v>
      </c>
      <c r="K50">
        <v>114.27265</v>
      </c>
      <c r="L50">
        <v>0.66890000000000005</v>
      </c>
    </row>
    <row r="51" spans="1:12" x14ac:dyDescent="0.2">
      <c r="A51" t="s">
        <v>134</v>
      </c>
      <c r="B51">
        <v>4</v>
      </c>
      <c r="C51">
        <f t="shared" si="0"/>
        <v>1.1871549830830415</v>
      </c>
      <c r="D51">
        <v>118.71550000000001</v>
      </c>
      <c r="E51">
        <v>0.86956999999999995</v>
      </c>
      <c r="H51" t="s">
        <v>133</v>
      </c>
      <c r="I51">
        <v>4</v>
      </c>
      <c r="J51">
        <f t="shared" si="1"/>
        <v>1.1427265455376527</v>
      </c>
      <c r="K51">
        <v>114.27265</v>
      </c>
      <c r="L51">
        <v>0.66890000000000005</v>
      </c>
    </row>
    <row r="52" spans="1:12" x14ac:dyDescent="0.2">
      <c r="A52" t="s">
        <v>135</v>
      </c>
      <c r="B52">
        <v>3</v>
      </c>
      <c r="C52">
        <f t="shared" si="0"/>
        <v>0.89036623731228115</v>
      </c>
      <c r="D52">
        <v>89.036619999999999</v>
      </c>
      <c r="E52">
        <v>0.65217000000000003</v>
      </c>
      <c r="H52" t="s">
        <v>100</v>
      </c>
      <c r="I52">
        <v>4</v>
      </c>
      <c r="J52">
        <f t="shared" si="1"/>
        <v>1.1427265455376527</v>
      </c>
      <c r="K52">
        <v>114.27265</v>
      </c>
      <c r="L52">
        <v>0.66890000000000005</v>
      </c>
    </row>
    <row r="53" spans="1:12" x14ac:dyDescent="0.2">
      <c r="A53" t="s">
        <v>136</v>
      </c>
      <c r="B53">
        <v>3</v>
      </c>
      <c r="C53">
        <f t="shared" si="0"/>
        <v>0.89036623731228115</v>
      </c>
      <c r="D53">
        <v>89.036619999999999</v>
      </c>
      <c r="E53">
        <v>0.65217000000000003</v>
      </c>
      <c r="H53" t="s">
        <v>138</v>
      </c>
      <c r="I53">
        <v>4</v>
      </c>
      <c r="J53">
        <f t="shared" si="1"/>
        <v>1.1427265455376527</v>
      </c>
      <c r="K53">
        <v>114.27265</v>
      </c>
      <c r="L53">
        <v>0.66890000000000005</v>
      </c>
    </row>
    <row r="54" spans="1:12" x14ac:dyDescent="0.2">
      <c r="A54" t="s">
        <v>137</v>
      </c>
      <c r="B54">
        <v>3</v>
      </c>
      <c r="C54">
        <f t="shared" si="0"/>
        <v>0.89036623731228115</v>
      </c>
      <c r="D54">
        <v>89.036619999999999</v>
      </c>
      <c r="E54">
        <v>0.65217000000000003</v>
      </c>
      <c r="H54" t="s">
        <v>136</v>
      </c>
      <c r="I54">
        <v>4</v>
      </c>
      <c r="J54">
        <f t="shared" si="1"/>
        <v>1.1427265455376527</v>
      </c>
      <c r="K54">
        <v>114.27265</v>
      </c>
      <c r="L54">
        <v>0.66890000000000005</v>
      </c>
    </row>
    <row r="55" spans="1:12" x14ac:dyDescent="0.2">
      <c r="A55" t="s">
        <v>138</v>
      </c>
      <c r="B55">
        <v>3</v>
      </c>
      <c r="C55">
        <f t="shared" si="0"/>
        <v>0.89036623731228115</v>
      </c>
      <c r="D55">
        <v>89.036619999999999</v>
      </c>
      <c r="E55">
        <v>0.65217000000000003</v>
      </c>
      <c r="H55" t="s">
        <v>126</v>
      </c>
      <c r="I55">
        <v>4</v>
      </c>
      <c r="J55">
        <f t="shared" si="1"/>
        <v>1.1427265455376527</v>
      </c>
      <c r="K55">
        <v>114.27265</v>
      </c>
      <c r="L55">
        <v>0.66890000000000005</v>
      </c>
    </row>
    <row r="56" spans="1:12" x14ac:dyDescent="0.2">
      <c r="A56" t="s">
        <v>139</v>
      </c>
      <c r="B56">
        <v>3</v>
      </c>
      <c r="C56">
        <f t="shared" si="0"/>
        <v>0.89036623731228115</v>
      </c>
      <c r="D56">
        <v>89.036619999999999</v>
      </c>
      <c r="E56">
        <v>0.65217000000000003</v>
      </c>
      <c r="H56" t="s">
        <v>114</v>
      </c>
      <c r="I56">
        <v>4</v>
      </c>
      <c r="J56">
        <f t="shared" si="1"/>
        <v>1.1427265455376527</v>
      </c>
      <c r="K56">
        <v>114.27265</v>
      </c>
      <c r="L56">
        <v>0.66890000000000005</v>
      </c>
    </row>
    <row r="57" spans="1:12" x14ac:dyDescent="0.2">
      <c r="A57" t="s">
        <v>140</v>
      </c>
      <c r="B57">
        <v>3</v>
      </c>
      <c r="C57">
        <f t="shared" si="0"/>
        <v>0.89036623731228115</v>
      </c>
      <c r="D57">
        <v>89.036619999999999</v>
      </c>
      <c r="E57">
        <v>0.65217000000000003</v>
      </c>
      <c r="H57" t="s">
        <v>149</v>
      </c>
      <c r="I57">
        <v>4</v>
      </c>
      <c r="J57">
        <f t="shared" si="1"/>
        <v>1.1427265455376527</v>
      </c>
      <c r="K57">
        <v>114.27265</v>
      </c>
      <c r="L57">
        <v>0.66890000000000005</v>
      </c>
    </row>
    <row r="58" spans="1:12" x14ac:dyDescent="0.2">
      <c r="A58" t="s">
        <v>141</v>
      </c>
      <c r="B58">
        <v>2</v>
      </c>
      <c r="C58">
        <f t="shared" si="0"/>
        <v>0.59357749154152073</v>
      </c>
      <c r="D58">
        <v>59.357750000000003</v>
      </c>
      <c r="E58">
        <v>0.43478</v>
      </c>
      <c r="H58" t="s">
        <v>143</v>
      </c>
      <c r="I58">
        <v>4</v>
      </c>
      <c r="J58">
        <f t="shared" si="1"/>
        <v>1.1427265455376527</v>
      </c>
      <c r="K58">
        <v>114.27265</v>
      </c>
      <c r="L58">
        <v>0.66890000000000005</v>
      </c>
    </row>
    <row r="59" spans="1:12" x14ac:dyDescent="0.2">
      <c r="A59" t="s">
        <v>142</v>
      </c>
      <c r="B59">
        <v>2</v>
      </c>
      <c r="C59">
        <f>(B59/33694)*10000</f>
        <v>0.59357749154152073</v>
      </c>
      <c r="D59">
        <v>59.357750000000003</v>
      </c>
      <c r="E59">
        <v>0.43478</v>
      </c>
      <c r="H59" t="s">
        <v>116</v>
      </c>
      <c r="I59">
        <v>4</v>
      </c>
      <c r="J59">
        <f>(I59/35004)*10000</f>
        <v>1.1427265455376527</v>
      </c>
      <c r="K59">
        <v>114.27265</v>
      </c>
      <c r="L59">
        <v>0.66890000000000005</v>
      </c>
    </row>
    <row r="60" spans="1:12" x14ac:dyDescent="0.2">
      <c r="A60" t="s">
        <v>143</v>
      </c>
      <c r="B60">
        <v>2</v>
      </c>
      <c r="C60">
        <f t="shared" si="0"/>
        <v>0.59357749154152073</v>
      </c>
      <c r="D60">
        <v>59.357750000000003</v>
      </c>
      <c r="E60">
        <v>0.43478</v>
      </c>
      <c r="H60" t="s">
        <v>148</v>
      </c>
      <c r="I60">
        <v>4</v>
      </c>
      <c r="J60">
        <f t="shared" si="1"/>
        <v>1.1427265455376527</v>
      </c>
      <c r="K60">
        <v>114.27265</v>
      </c>
      <c r="L60">
        <v>0.66890000000000005</v>
      </c>
    </row>
    <row r="61" spans="1:12" x14ac:dyDescent="0.2">
      <c r="A61" t="s">
        <v>144</v>
      </c>
      <c r="B61">
        <v>2</v>
      </c>
      <c r="C61">
        <f t="shared" si="0"/>
        <v>0.59357749154152073</v>
      </c>
      <c r="D61">
        <v>59.357750000000003</v>
      </c>
      <c r="E61">
        <v>0.43478</v>
      </c>
      <c r="H61" t="s">
        <v>130</v>
      </c>
      <c r="I61">
        <v>3</v>
      </c>
      <c r="J61">
        <f t="shared" si="1"/>
        <v>0.85704490915323972</v>
      </c>
      <c r="K61">
        <v>85.704490000000007</v>
      </c>
      <c r="L61">
        <v>0.50166999999999995</v>
      </c>
    </row>
    <row r="62" spans="1:12" x14ac:dyDescent="0.2">
      <c r="A62" t="s">
        <v>145</v>
      </c>
      <c r="B62">
        <v>2</v>
      </c>
      <c r="C62">
        <f t="shared" si="0"/>
        <v>0.59357749154152073</v>
      </c>
      <c r="D62">
        <v>59.357750000000003</v>
      </c>
      <c r="E62">
        <v>0.43478</v>
      </c>
      <c r="H62" t="s">
        <v>131</v>
      </c>
      <c r="I62">
        <v>3</v>
      </c>
      <c r="J62">
        <f t="shared" si="1"/>
        <v>0.85704490915323972</v>
      </c>
      <c r="K62">
        <v>85.704490000000007</v>
      </c>
      <c r="L62">
        <v>0.50166999999999995</v>
      </c>
    </row>
    <row r="63" spans="1:12" x14ac:dyDescent="0.2">
      <c r="A63" t="s">
        <v>146</v>
      </c>
      <c r="B63">
        <v>2</v>
      </c>
      <c r="C63">
        <f t="shared" si="0"/>
        <v>0.59357749154152073</v>
      </c>
      <c r="D63">
        <v>59.357750000000003</v>
      </c>
      <c r="E63">
        <v>0.43478</v>
      </c>
      <c r="H63" t="s">
        <v>120</v>
      </c>
      <c r="I63">
        <v>3</v>
      </c>
      <c r="J63">
        <f t="shared" si="1"/>
        <v>0.85704490915323972</v>
      </c>
      <c r="K63">
        <v>85.704490000000007</v>
      </c>
      <c r="L63">
        <v>0.50166999999999995</v>
      </c>
    </row>
    <row r="64" spans="1:12" x14ac:dyDescent="0.2">
      <c r="A64" t="s">
        <v>147</v>
      </c>
      <c r="B64">
        <v>2</v>
      </c>
      <c r="C64">
        <f t="shared" si="0"/>
        <v>0.59357749154152073</v>
      </c>
      <c r="D64">
        <v>59.357750000000003</v>
      </c>
      <c r="E64">
        <v>0.43478</v>
      </c>
      <c r="H64" t="s">
        <v>132</v>
      </c>
      <c r="I64">
        <v>2</v>
      </c>
      <c r="J64">
        <f t="shared" si="1"/>
        <v>0.57136327276882637</v>
      </c>
      <c r="K64">
        <v>57.136330000000001</v>
      </c>
      <c r="L64">
        <v>0.33445000000000003</v>
      </c>
    </row>
    <row r="65" spans="1:12" x14ac:dyDescent="0.2">
      <c r="A65" t="s">
        <v>148</v>
      </c>
      <c r="B65">
        <v>2</v>
      </c>
      <c r="C65">
        <f t="shared" si="0"/>
        <v>0.59357749154152073</v>
      </c>
      <c r="D65">
        <v>59.357750000000003</v>
      </c>
      <c r="E65">
        <v>0.43478</v>
      </c>
      <c r="H65" t="s">
        <v>137</v>
      </c>
      <c r="I65">
        <v>2</v>
      </c>
      <c r="J65">
        <f t="shared" si="1"/>
        <v>0.57136327276882637</v>
      </c>
      <c r="K65">
        <v>57.136330000000001</v>
      </c>
      <c r="L65">
        <v>0.33445000000000003</v>
      </c>
    </row>
    <row r="66" spans="1:12" x14ac:dyDescent="0.2">
      <c r="A66" t="s">
        <v>149</v>
      </c>
      <c r="B66">
        <v>2</v>
      </c>
      <c r="C66">
        <f t="shared" si="0"/>
        <v>0.59357749154152073</v>
      </c>
      <c r="D66">
        <v>59.357750000000003</v>
      </c>
      <c r="E66">
        <v>0.43478</v>
      </c>
      <c r="H66" t="s">
        <v>140</v>
      </c>
      <c r="I66">
        <v>2</v>
      </c>
      <c r="J66">
        <f t="shared" si="1"/>
        <v>0.57136327276882637</v>
      </c>
      <c r="K66">
        <v>57.136330000000001</v>
      </c>
      <c r="L66">
        <v>0.33445000000000003</v>
      </c>
    </row>
    <row r="67" spans="1:12" x14ac:dyDescent="0.2">
      <c r="A67" t="s">
        <v>150</v>
      </c>
      <c r="B67">
        <v>2</v>
      </c>
      <c r="C67">
        <f t="shared" si="0"/>
        <v>0.59357749154152073</v>
      </c>
      <c r="D67">
        <v>59.357750000000003</v>
      </c>
      <c r="E67">
        <v>0.43478</v>
      </c>
      <c r="H67" t="s">
        <v>125</v>
      </c>
      <c r="I67">
        <v>2</v>
      </c>
      <c r="J67">
        <f t="shared" si="1"/>
        <v>0.57136327276882637</v>
      </c>
      <c r="K67">
        <v>57.136330000000001</v>
      </c>
      <c r="L67">
        <v>0.33445000000000003</v>
      </c>
    </row>
    <row r="68" spans="1:12" x14ac:dyDescent="0.2">
      <c r="A68" t="s">
        <v>151</v>
      </c>
      <c r="B68">
        <v>2</v>
      </c>
      <c r="C68">
        <f t="shared" si="0"/>
        <v>0.59357749154152073</v>
      </c>
      <c r="D68">
        <v>59.357750000000003</v>
      </c>
      <c r="E68">
        <v>0.43478</v>
      </c>
      <c r="H68" t="s">
        <v>109</v>
      </c>
      <c r="I68">
        <v>2</v>
      </c>
      <c r="J68">
        <f t="shared" si="1"/>
        <v>0.57136327276882637</v>
      </c>
      <c r="K68">
        <v>57.136330000000001</v>
      </c>
      <c r="L68">
        <v>0.33445000000000003</v>
      </c>
    </row>
    <row r="69" spans="1:12" x14ac:dyDescent="0.2">
      <c r="A69" t="s">
        <v>152</v>
      </c>
      <c r="B69">
        <v>1</v>
      </c>
      <c r="C69">
        <f t="shared" si="0"/>
        <v>0.29678874577076036</v>
      </c>
      <c r="D69">
        <v>29.67887</v>
      </c>
      <c r="E69">
        <v>0.21739</v>
      </c>
      <c r="H69" t="s">
        <v>106</v>
      </c>
      <c r="I69">
        <v>2</v>
      </c>
      <c r="J69">
        <f t="shared" si="1"/>
        <v>0.57136327276882637</v>
      </c>
      <c r="K69">
        <v>57.136330000000001</v>
      </c>
      <c r="L69">
        <v>0.33445000000000003</v>
      </c>
    </row>
    <row r="70" spans="1:12" x14ac:dyDescent="0.2">
      <c r="A70" t="s">
        <v>153</v>
      </c>
      <c r="B70">
        <v>1</v>
      </c>
      <c r="C70">
        <f t="shared" si="0"/>
        <v>0.29678874577076036</v>
      </c>
      <c r="D70">
        <v>29.67887</v>
      </c>
      <c r="E70">
        <v>0.21739</v>
      </c>
      <c r="H70" t="s">
        <v>151</v>
      </c>
      <c r="I70">
        <v>2</v>
      </c>
      <c r="J70">
        <f t="shared" si="1"/>
        <v>0.57136327276882637</v>
      </c>
      <c r="K70">
        <v>57.136330000000001</v>
      </c>
      <c r="L70">
        <v>0.33445000000000003</v>
      </c>
    </row>
    <row r="71" spans="1:12" x14ac:dyDescent="0.2">
      <c r="A71" t="s">
        <v>154</v>
      </c>
      <c r="B71">
        <v>1</v>
      </c>
      <c r="C71">
        <f t="shared" si="0"/>
        <v>0.29678874577076036</v>
      </c>
      <c r="D71">
        <v>29.67887</v>
      </c>
      <c r="E71">
        <v>0.21739</v>
      </c>
      <c r="H71" t="s">
        <v>134</v>
      </c>
      <c r="I71">
        <v>2</v>
      </c>
      <c r="J71">
        <f t="shared" si="1"/>
        <v>0.57136327276882637</v>
      </c>
      <c r="K71">
        <v>57.136330000000001</v>
      </c>
      <c r="L71">
        <v>0.33445000000000003</v>
      </c>
    </row>
    <row r="72" spans="1:12" x14ac:dyDescent="0.2">
      <c r="A72" t="s">
        <v>155</v>
      </c>
      <c r="B72">
        <v>1</v>
      </c>
      <c r="C72">
        <f t="shared" ref="C72:C75" si="2">(B72/33694)*10000</f>
        <v>0.29678874577076036</v>
      </c>
      <c r="D72">
        <v>29.67887</v>
      </c>
      <c r="E72">
        <v>0.21739</v>
      </c>
      <c r="H72" t="s">
        <v>139</v>
      </c>
      <c r="I72">
        <v>1</v>
      </c>
      <c r="J72">
        <f t="shared" ref="J72:J74" si="3">(I72/35004)*10000</f>
        <v>0.28568163638441318</v>
      </c>
      <c r="K72">
        <v>28.568159999999999</v>
      </c>
      <c r="L72">
        <v>0.16722000000000001</v>
      </c>
    </row>
    <row r="73" spans="1:12" x14ac:dyDescent="0.2">
      <c r="A73" t="s">
        <v>156</v>
      </c>
      <c r="B73">
        <v>1</v>
      </c>
      <c r="C73">
        <f t="shared" si="2"/>
        <v>0.29678874577076036</v>
      </c>
      <c r="D73">
        <v>29.67887</v>
      </c>
      <c r="E73">
        <v>0.21739</v>
      </c>
      <c r="H73" t="s">
        <v>170</v>
      </c>
      <c r="I73">
        <v>1</v>
      </c>
      <c r="J73">
        <f t="shared" si="3"/>
        <v>0.28568163638441318</v>
      </c>
      <c r="K73">
        <v>28.568159999999999</v>
      </c>
      <c r="L73">
        <v>0.16722000000000001</v>
      </c>
    </row>
    <row r="74" spans="1:12" x14ac:dyDescent="0.2">
      <c r="A74" t="s">
        <v>157</v>
      </c>
      <c r="B74">
        <v>1</v>
      </c>
      <c r="C74">
        <f t="shared" si="2"/>
        <v>0.29678874577076036</v>
      </c>
      <c r="D74">
        <v>29.67887</v>
      </c>
      <c r="E74">
        <v>0.21739</v>
      </c>
      <c r="H74" t="s">
        <v>113</v>
      </c>
      <c r="I74">
        <v>1</v>
      </c>
      <c r="J74">
        <f t="shared" si="3"/>
        <v>0.28568163638441318</v>
      </c>
      <c r="K74">
        <v>28.568159999999999</v>
      </c>
      <c r="L74">
        <v>0.16722000000000001</v>
      </c>
    </row>
    <row r="75" spans="1:12" x14ac:dyDescent="0.2">
      <c r="A75" t="s">
        <v>158</v>
      </c>
      <c r="B75">
        <v>1</v>
      </c>
      <c r="C75">
        <f t="shared" si="2"/>
        <v>0.29678874577076036</v>
      </c>
      <c r="D75">
        <v>29.67887</v>
      </c>
      <c r="E75">
        <v>0.21739</v>
      </c>
      <c r="H75" t="s">
        <v>171</v>
      </c>
      <c r="I75">
        <v>1</v>
      </c>
      <c r="J75">
        <f>(I75/35004)*10000</f>
        <v>0.28568163638441318</v>
      </c>
      <c r="K75">
        <v>28.568159999999999</v>
      </c>
      <c r="L75">
        <v>0.16722000000000001</v>
      </c>
    </row>
    <row r="76" spans="1:12" x14ac:dyDescent="0.2">
      <c r="A76" t="s">
        <v>159</v>
      </c>
      <c r="B76">
        <v>1</v>
      </c>
      <c r="C76">
        <f>(B76/33694)*10000</f>
        <v>0.29678874577076036</v>
      </c>
      <c r="D76">
        <v>29.67887</v>
      </c>
      <c r="E76">
        <v>0.21739</v>
      </c>
      <c r="H76" t="s">
        <v>154</v>
      </c>
      <c r="I76">
        <v>1</v>
      </c>
      <c r="J76">
        <f t="shared" ref="J76:J80" si="4">(I76/35004)*10000</f>
        <v>0.28568163638441318</v>
      </c>
      <c r="K76">
        <v>28.568159999999999</v>
      </c>
      <c r="L76">
        <v>0.16722000000000001</v>
      </c>
    </row>
    <row r="77" spans="1:12" x14ac:dyDescent="0.2">
      <c r="A77" t="s">
        <v>160</v>
      </c>
      <c r="B77">
        <v>1</v>
      </c>
      <c r="C77">
        <f t="shared" ref="C77:C78" si="5">(B77/33694)*10000</f>
        <v>0.29678874577076036</v>
      </c>
      <c r="D77">
        <v>29.67887</v>
      </c>
      <c r="E77">
        <v>0.21739</v>
      </c>
      <c r="H77" t="s">
        <v>117</v>
      </c>
      <c r="I77">
        <v>1</v>
      </c>
      <c r="J77">
        <f t="shared" si="4"/>
        <v>0.28568163638441318</v>
      </c>
      <c r="K77">
        <v>28.568159999999999</v>
      </c>
      <c r="L77">
        <v>0.16722000000000001</v>
      </c>
    </row>
    <row r="78" spans="1:12" x14ac:dyDescent="0.2">
      <c r="A78" t="s">
        <v>161</v>
      </c>
      <c r="B78">
        <v>1</v>
      </c>
      <c r="C78">
        <f t="shared" si="5"/>
        <v>0.29678874577076036</v>
      </c>
      <c r="D78">
        <v>29.67887</v>
      </c>
      <c r="E78">
        <v>0.21739</v>
      </c>
      <c r="H78" t="s">
        <v>104</v>
      </c>
      <c r="I78">
        <v>1</v>
      </c>
      <c r="J78">
        <f t="shared" si="4"/>
        <v>0.28568163638441318</v>
      </c>
      <c r="K78">
        <v>28.568159999999999</v>
      </c>
      <c r="L78">
        <v>0.16722000000000001</v>
      </c>
    </row>
    <row r="79" spans="1:12" x14ac:dyDescent="0.2">
      <c r="H79" t="s">
        <v>127</v>
      </c>
      <c r="I79">
        <v>1</v>
      </c>
      <c r="J79">
        <f t="shared" si="4"/>
        <v>0.28568163638441318</v>
      </c>
      <c r="K79">
        <v>28.568159999999999</v>
      </c>
      <c r="L79">
        <v>0.16722000000000001</v>
      </c>
    </row>
    <row r="80" spans="1:12" x14ac:dyDescent="0.2">
      <c r="B80" s="31">
        <f>SUM(B7:B78)</f>
        <v>460</v>
      </c>
      <c r="C80" s="33"/>
      <c r="H80" t="s">
        <v>172</v>
      </c>
      <c r="I80">
        <v>1</v>
      </c>
      <c r="J80">
        <f t="shared" si="4"/>
        <v>0.28568163638441318</v>
      </c>
      <c r="K80">
        <v>28.568159999999999</v>
      </c>
      <c r="L80">
        <v>0.16722000000000001</v>
      </c>
    </row>
    <row r="81" spans="2:10" x14ac:dyDescent="0.2">
      <c r="B81" t="s">
        <v>186</v>
      </c>
    </row>
    <row r="82" spans="2:10" x14ac:dyDescent="0.2">
      <c r="B82">
        <f>(460/33694)*10000</f>
        <v>136.52282305454978</v>
      </c>
      <c r="I82" s="31">
        <f>SUM(I7:I80)</f>
        <v>598</v>
      </c>
      <c r="J82" s="33"/>
    </row>
    <row r="83" spans="2:10" x14ac:dyDescent="0.2">
      <c r="I83" t="s">
        <v>186</v>
      </c>
    </row>
    <row r="84" spans="2:10" x14ac:dyDescent="0.2">
      <c r="I84">
        <f>(598/35004)*10000</f>
        <v>170.8376185578791</v>
      </c>
    </row>
  </sheetData>
  <mergeCells count="2">
    <mergeCell ref="A5:E5"/>
    <mergeCell ref="H5:L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Affect</vt:lpstr>
      <vt:lpstr>Judgement</vt:lpstr>
      <vt:lpstr>Appreciation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2026-02-04T14:27:49Z</dcterms:created>
  <dcterms:modified xsi:type="dcterms:W3CDTF">2026-02-04T14:27:49Z</dcterms:modified>
</cp:coreProperties>
</file>